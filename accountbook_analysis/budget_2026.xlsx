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예산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b val="1"/>
      <color rgb="00FFFFFF"/>
      <sz val="16"/>
    </font>
    <font>
      <color rgb="00757575"/>
      <sz val="11"/>
    </font>
    <font>
      <color rgb="009E9E9E"/>
      <sz val="10"/>
    </font>
    <font>
      <b val="1"/>
      <color rgb="00C62828"/>
    </font>
    <font>
      <color rgb="00C62828"/>
      <sz val="9"/>
    </font>
    <font>
      <b val="1"/>
      <color rgb="003F51B5"/>
    </font>
    <font>
      <color rgb="003F51B5"/>
      <sz val="9"/>
    </font>
    <font>
      <b val="1"/>
      <color rgb="002E7D32"/>
    </font>
    <font>
      <color rgb="002E7D32"/>
      <sz val="9"/>
    </font>
    <font>
      <b val="1"/>
      <color rgb="00E65100"/>
    </font>
    <font>
      <color rgb="00E65100"/>
      <sz val="9"/>
    </font>
    <font>
      <b val="1"/>
      <color rgb="007B1FA2"/>
    </font>
    <font>
      <color rgb="007B1FA2"/>
      <sz val="9"/>
    </font>
    <font>
      <b val="1"/>
      <color rgb="00FFFFFF"/>
      <sz val="11"/>
    </font>
    <font>
      <b val="1"/>
      <color rgb="00FFFFFF"/>
      <sz val="12"/>
    </font>
    <font>
      <color rgb="00757575"/>
      <sz val="9"/>
    </font>
    <font>
      <b val="1"/>
    </font>
    <font>
      <sz val="9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FCE4EC"/>
        <bgColor rgb="00FCE4EC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/>
    </fill>
    <fill>
      <patternFill patternType="solid">
        <fgColor rgb="00C62828"/>
        <bgColor rgb="00C62828"/>
      </patternFill>
    </fill>
    <fill>
      <patternFill patternType="solid">
        <fgColor rgb="00F5F5F5"/>
        <bgColor rgb="00F5F5F5"/>
      </patternFill>
    </fill>
    <fill>
      <patternFill patternType="solid">
        <fgColor rgb="003F51B5"/>
        <bgColor rgb="003F51B5"/>
      </patternFill>
    </fill>
    <fill>
      <patternFill patternType="solid">
        <fgColor rgb="002E7D32"/>
        <bgColor rgb="002E7D32"/>
      </patternFill>
    </fill>
    <fill>
      <patternFill patternType="solid">
        <fgColor rgb="00E65100"/>
        <bgColor rgb="00E65100"/>
      </patternFill>
    </fill>
    <fill>
      <patternFill patternType="solid">
        <fgColor rgb="007B1FA2"/>
        <bgColor rgb="007B1F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4" borderId="1" pivotButton="0" quotePrefix="0" xfId="0"/>
    <xf numFmtId="0" fontId="4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0" fillId="5" borderId="1" pivotButton="0" quotePrefix="0" xfId="0"/>
    <xf numFmtId="0" fontId="6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0" fontId="7" fillId="5" borderId="1" pivotButton="0" quotePrefix="0" xfId="0"/>
    <xf numFmtId="0" fontId="0" fillId="6" borderId="1" pivotButton="0" quotePrefix="0" xfId="0"/>
    <xf numFmtId="0" fontId="8" fillId="6" borderId="1" pivotButton="0" quotePrefix="0" xfId="0"/>
    <xf numFmtId="3" fontId="0" fillId="6" borderId="1" pivotButton="0" quotePrefix="0" xfId="0"/>
    <xf numFmtId="164" fontId="0" fillId="6" borderId="1" pivotButton="0" quotePrefix="0" xfId="0"/>
    <xf numFmtId="0" fontId="9" fillId="6" borderId="1" pivotButton="0" quotePrefix="0" xfId="0"/>
    <xf numFmtId="0" fontId="0" fillId="7" borderId="1" pivotButton="0" quotePrefix="0" xfId="0"/>
    <xf numFmtId="0" fontId="10" fillId="7" borderId="1" pivotButton="0" quotePrefix="0" xfId="0"/>
    <xf numFmtId="3" fontId="0" fillId="7" borderId="1" pivotButton="0" quotePrefix="0" xfId="0"/>
    <xf numFmtId="164" fontId="0" fillId="7" borderId="1" pivotButton="0" quotePrefix="0" xfId="0"/>
    <xf numFmtId="0" fontId="11" fillId="7" borderId="1" pivotButton="0" quotePrefix="0" xfId="0"/>
    <xf numFmtId="0" fontId="0" fillId="8" borderId="1" pivotButton="0" quotePrefix="0" xfId="0"/>
    <xf numFmtId="0" fontId="12" fillId="8" borderId="1" pivotButton="0" quotePrefix="0" xfId="0"/>
    <xf numFmtId="3" fontId="0" fillId="8" borderId="1" pivotButton="0" quotePrefix="0" xfId="0"/>
    <xf numFmtId="164" fontId="0" fillId="8" borderId="1" pivotButton="0" quotePrefix="0" xfId="0"/>
    <xf numFmtId="0" fontId="13" fillId="8" borderId="1" pivotButton="0" quotePrefix="0" xfId="0"/>
    <xf numFmtId="0" fontId="14" fillId="9" borderId="1" pivotButton="0" quotePrefix="0" xfId="0"/>
    <xf numFmtId="3" fontId="14" fillId="9" borderId="1" pivotButton="0" quotePrefix="0" xfId="0"/>
    <xf numFmtId="164" fontId="14" fillId="9" borderId="1" pivotButton="0" quotePrefix="0" xfId="0"/>
    <xf numFmtId="0" fontId="15" fillId="10" borderId="0" pivotButton="0" quotePrefix="0" xfId="0"/>
    <xf numFmtId="0" fontId="16" fillId="11" borderId="0" applyAlignment="1" pivotButton="0" quotePrefix="0" xfId="0">
      <alignment horizontal="center"/>
    </xf>
    <xf numFmtId="0" fontId="17" fillId="4" borderId="1" pivotButton="0" quotePrefix="0" xfId="0"/>
    <xf numFmtId="9" fontId="0" fillId="4" borderId="1" pivotButton="0" quotePrefix="0" xfId="0"/>
    <xf numFmtId="0" fontId="18" fillId="4" borderId="1" pivotButton="0" quotePrefix="0" xfId="0"/>
    <xf numFmtId="3" fontId="4" fillId="4" borderId="1" pivotButton="0" quotePrefix="0" xfId="0"/>
    <xf numFmtId="9" fontId="4" fillId="4" borderId="1" pivotButton="0" quotePrefix="0" xfId="0"/>
    <xf numFmtId="0" fontId="19" fillId="10" borderId="1" pivotButton="0" quotePrefix="0" xfId="0"/>
    <xf numFmtId="3" fontId="19" fillId="10" borderId="1" pivotButton="0" quotePrefix="0" xfId="0"/>
    <xf numFmtId="9" fontId="19" fillId="10" borderId="1" pivotButton="0" quotePrefix="0" xfId="0"/>
    <xf numFmtId="0" fontId="15" fillId="12" borderId="0" pivotButton="0" quotePrefix="0" xfId="0"/>
    <xf numFmtId="0" fontId="17" fillId="5" borderId="1" pivotButton="0" quotePrefix="0" xfId="0"/>
    <xf numFmtId="9" fontId="0" fillId="5" borderId="1" pivotButton="0" quotePrefix="0" xfId="0"/>
    <xf numFmtId="0" fontId="18" fillId="5" borderId="1" pivotButton="0" quotePrefix="0" xfId="0"/>
    <xf numFmtId="3" fontId="6" fillId="5" borderId="1" pivotButton="0" quotePrefix="0" xfId="0"/>
    <xf numFmtId="9" fontId="6" fillId="5" borderId="1" pivotButton="0" quotePrefix="0" xfId="0"/>
    <xf numFmtId="0" fontId="19" fillId="12" borderId="1" pivotButton="0" quotePrefix="0" xfId="0"/>
    <xf numFmtId="3" fontId="19" fillId="12" borderId="1" pivotButton="0" quotePrefix="0" xfId="0"/>
    <xf numFmtId="9" fontId="19" fillId="12" borderId="1" pivotButton="0" quotePrefix="0" xfId="0"/>
    <xf numFmtId="0" fontId="15" fillId="13" borderId="0" pivotButton="0" quotePrefix="0" xfId="0"/>
    <xf numFmtId="0" fontId="17" fillId="6" borderId="1" pivotButton="0" quotePrefix="0" xfId="0"/>
    <xf numFmtId="9" fontId="0" fillId="6" borderId="1" pivotButton="0" quotePrefix="0" xfId="0"/>
    <xf numFmtId="0" fontId="18" fillId="6" borderId="1" pivotButton="0" quotePrefix="0" xfId="0"/>
    <xf numFmtId="3" fontId="8" fillId="6" borderId="1" pivotButton="0" quotePrefix="0" xfId="0"/>
    <xf numFmtId="9" fontId="8" fillId="6" borderId="1" pivotButton="0" quotePrefix="0" xfId="0"/>
    <xf numFmtId="0" fontId="19" fillId="13" borderId="1" pivotButton="0" quotePrefix="0" xfId="0"/>
    <xf numFmtId="3" fontId="19" fillId="13" borderId="1" pivotButton="0" quotePrefix="0" xfId="0"/>
    <xf numFmtId="9" fontId="19" fillId="13" borderId="1" pivotButton="0" quotePrefix="0" xfId="0"/>
    <xf numFmtId="0" fontId="15" fillId="14" borderId="0" pivotButton="0" quotePrefix="0" xfId="0"/>
    <xf numFmtId="0" fontId="17" fillId="7" borderId="1" pivotButton="0" quotePrefix="0" xfId="0"/>
    <xf numFmtId="9" fontId="0" fillId="7" borderId="1" pivotButton="0" quotePrefix="0" xfId="0"/>
    <xf numFmtId="0" fontId="18" fillId="7" borderId="1" pivotButton="0" quotePrefix="0" xfId="0"/>
    <xf numFmtId="3" fontId="10" fillId="7" borderId="1" pivotButton="0" quotePrefix="0" xfId="0"/>
    <xf numFmtId="9" fontId="10" fillId="7" borderId="1" pivotButton="0" quotePrefix="0" xfId="0"/>
    <xf numFmtId="0" fontId="19" fillId="14" borderId="1" pivotButton="0" quotePrefix="0" xfId="0"/>
    <xf numFmtId="3" fontId="19" fillId="14" borderId="1" pivotButton="0" quotePrefix="0" xfId="0"/>
    <xf numFmtId="9" fontId="19" fillId="14" borderId="1" pivotButton="0" quotePrefix="0" xfId="0"/>
    <xf numFmtId="0" fontId="15" fillId="15" borderId="0" pivotButton="0" quotePrefix="0" xfId="0"/>
    <xf numFmtId="0" fontId="17" fillId="8" borderId="1" pivotButton="0" quotePrefix="0" xfId="0"/>
    <xf numFmtId="9" fontId="0" fillId="8" borderId="1" pivotButton="0" quotePrefix="0" xfId="0"/>
    <xf numFmtId="0" fontId="18" fillId="8" borderId="1" pivotButton="0" quotePrefix="0" xfId="0"/>
    <xf numFmtId="3" fontId="12" fillId="8" borderId="1" pivotButton="0" quotePrefix="0" xfId="0"/>
    <xf numFmtId="9" fontId="12" fillId="8" borderId="1" pivotButton="0" quotePrefix="0" xfId="0"/>
    <xf numFmtId="0" fontId="19" fillId="15" borderId="1" pivotButton="0" quotePrefix="0" xfId="0"/>
    <xf numFmtId="3" fontId="19" fillId="15" borderId="1" pivotButton="0" quotePrefix="0" xfId="0"/>
    <xf numFmtId="9" fontId="19" fillId="15" borderId="1" pivotButton="0" quotePrefix="0" xfId="0"/>
    <xf numFmtId="9" fontId="14" fillId="9" borderId="1" pivotButton="0" quotePrefix="0" xfId="0"/>
  </cellXfs>
  <cellStyles count="1">
    <cellStyle name="Normal" xfId="0" builtinId="0" hidden="0"/>
  </cellStyles>
  <dxfs count="4">
    <dxf>
      <font>
        <color rgb="00C62828"/>
      </font>
      <fill>
        <patternFill patternType="solid">
          <fgColor rgb="00FFEBEE"/>
          <bgColor rgb="00FFEBEE"/>
        </patternFill>
      </fill>
    </dxf>
    <dxf>
      <font>
        <color rgb="00E65100"/>
      </font>
      <fill>
        <patternFill patternType="solid">
          <fgColor rgb="00FFF3E0"/>
          <bgColor rgb="00FFF3E0"/>
        </patternFill>
      </fill>
    </dxf>
    <dxf>
      <font>
        <color rgb="002E7D32"/>
      </font>
      <fill>
        <patternFill patternType="solid">
          <fgColor rgb="00E8F5E9"/>
          <bgColor rgb="00E8F5E9"/>
        </patternFill>
      </fill>
    </dxf>
    <dxf>
      <font>
        <color rgb="001565C0"/>
      </font>
      <fill>
        <patternFill patternType="solid">
          <fgColor rgb="00E3F2FD"/>
          <bgColor rgb="00E3F2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16" customWidth="1" min="5" max="5"/>
    <col width="14" customWidth="1" min="6" max="6"/>
    <col width="10" customWidth="1" min="7" max="7"/>
    <col width="30" customWidth="1" min="8" max="8"/>
  </cols>
  <sheetData>
    <row r="1">
      <c r="A1" s="1" t="inlineStr">
        <is>
          <t>2026 청지기 재정 예산안</t>
        </is>
      </c>
    </row>
    <row r="2">
      <c r="A2" s="2" t="inlineStr">
        <is>
          <t>월 수입 3,500,000 · 연간 72,000,000 · 배분율 78.8%</t>
        </is>
      </c>
    </row>
    <row r="4">
      <c r="A4" s="3" t="inlineStr">
        <is>
          <t>── 층별 요약 ──</t>
        </is>
      </c>
    </row>
    <row r="5">
      <c r="A5" s="4" t="inlineStr"/>
      <c r="B5" s="5" t="inlineStr">
        <is>
          <t>1층 하나님의 몫</t>
        </is>
      </c>
      <c r="C5" s="6" t="n">
        <v>650000</v>
      </c>
      <c r="D5" s="6" t="n">
        <v>7800000</v>
      </c>
      <c r="E5" s="4" t="inlineStr"/>
      <c r="F5" s="4" t="inlineStr"/>
      <c r="G5" s="7" t="n">
        <v>0.1083333333333333</v>
      </c>
      <c r="H5" s="8" t="inlineStr">
        <is>
          <t>████</t>
        </is>
      </c>
    </row>
    <row r="6">
      <c r="A6" s="9" t="inlineStr"/>
      <c r="B6" s="10" t="inlineStr">
        <is>
          <t>2층 사명 프로젝트</t>
        </is>
      </c>
      <c r="C6" s="11" t="n">
        <v>1110000</v>
      </c>
      <c r="D6" s="11" t="n">
        <v>13320000</v>
      </c>
      <c r="E6" s="9" t="inlineStr"/>
      <c r="F6" s="9" t="inlineStr"/>
      <c r="G6" s="12" t="n">
        <v>0.185</v>
      </c>
      <c r="H6" s="13" t="inlineStr">
        <is>
          <t>███████</t>
        </is>
      </c>
    </row>
    <row r="7">
      <c r="A7" s="14" t="inlineStr"/>
      <c r="B7" s="15" t="inlineStr">
        <is>
          <t>3층 청지기 운영</t>
        </is>
      </c>
      <c r="C7" s="16" t="n">
        <v>2240000</v>
      </c>
      <c r="D7" s="16" t="n">
        <v>26880000</v>
      </c>
      <c r="E7" s="14" t="inlineStr"/>
      <c r="F7" s="14" t="inlineStr"/>
      <c r="G7" s="17" t="n">
        <v>0.3733333333333334</v>
      </c>
      <c r="H7" s="18" t="inlineStr">
        <is>
          <t>███████████████</t>
        </is>
      </c>
    </row>
    <row r="8">
      <c r="A8" s="19" t="inlineStr"/>
      <c r="B8" s="20" t="inlineStr">
        <is>
          <t>4층 성장 씨앗</t>
        </is>
      </c>
      <c r="C8" s="21" t="n">
        <v>20000</v>
      </c>
      <c r="D8" s="21" t="n">
        <v>15240000</v>
      </c>
      <c r="E8" s="19" t="inlineStr"/>
      <c r="F8" s="19" t="inlineStr"/>
      <c r="G8" s="22" t="n">
        <v>0.2116666666666667</v>
      </c>
      <c r="H8" s="23" t="inlineStr">
        <is>
          <t>████████</t>
        </is>
      </c>
    </row>
    <row r="9">
      <c r="A9" s="24" t="inlineStr"/>
      <c r="B9" s="25" t="inlineStr">
        <is>
          <t>5층 신뢰 여백</t>
        </is>
      </c>
      <c r="C9" s="26" t="n">
        <v>710000</v>
      </c>
      <c r="D9" s="26" t="n">
        <v>8520000</v>
      </c>
      <c r="E9" s="24" t="inlineStr"/>
      <c r="F9" s="24" t="inlineStr"/>
      <c r="G9" s="27" t="n">
        <v>0.1183333333333333</v>
      </c>
      <c r="H9" s="28" t="inlineStr">
        <is>
          <t>█████</t>
        </is>
      </c>
    </row>
    <row r="11">
      <c r="A11" s="29" t="inlineStr"/>
      <c r="B11" s="29" t="inlineStr">
        <is>
          <t>총계</t>
        </is>
      </c>
      <c r="C11" s="30" t="n">
        <v>4730000</v>
      </c>
      <c r="D11" s="30" t="n">
        <v>56760000</v>
      </c>
      <c r="E11" s="30">
        <f>E72</f>
        <v/>
      </c>
      <c r="F11" s="30">
        <f>F72</f>
        <v/>
      </c>
      <c r="G11" s="31" t="n">
        <v>0.7883333333333333</v>
      </c>
      <c r="H11" s="29" t="inlineStr"/>
    </row>
    <row r="13">
      <c r="A13" s="32" t="inlineStr">
        <is>
          <t>1층 하나님의 몫 — 먼저 드리고 나머지로 산다</t>
        </is>
      </c>
    </row>
    <row r="14">
      <c r="A14" s="33" t="inlineStr"/>
      <c r="B14" s="33" t="inlineStr">
        <is>
          <t>프로젝트·항목</t>
        </is>
      </c>
      <c r="C14" s="33" t="inlineStr">
        <is>
          <t>월 예산</t>
        </is>
      </c>
      <c r="D14" s="33" t="inlineStr">
        <is>
          <t>연 예산</t>
        </is>
      </c>
      <c r="E14" s="33" t="inlineStr">
        <is>
          <t>실적</t>
        </is>
      </c>
      <c r="F14" s="33" t="inlineStr">
        <is>
          <t>잔여</t>
        </is>
      </c>
      <c r="G14" s="33" t="inlineStr">
        <is>
          <t>소진율</t>
        </is>
      </c>
      <c r="H14" s="33" t="inlineStr">
        <is>
          <t>비고</t>
        </is>
      </c>
    </row>
    <row r="15">
      <c r="A15" s="34" t="inlineStr">
        <is>
          <t>십일조</t>
        </is>
      </c>
      <c r="B15" s="4" t="inlineStr">
        <is>
          <t>십일조</t>
        </is>
      </c>
      <c r="C15" s="6" t="n">
        <v>350000</v>
      </c>
      <c r="D15" s="6" t="n">
        <v>4200000</v>
      </c>
      <c r="E15" s="6">
        <f>-SUMIFS('가계부 내역'!$G:$G,'가계부 내역'!$K:$K,B15,'가계부 내역'!$A:$A,"&gt;="&amp;DATE(2026,01,01),'가계부 내역'!$A:$A,"&lt;="&amp;DATE(2026,12,31))</f>
        <v/>
      </c>
      <c r="F15" s="6">
        <f>D15-E15</f>
        <v/>
      </c>
      <c r="G15" s="35">
        <f>IF(D15=0,"",E15/D15)</f>
        <v/>
      </c>
      <c r="H15" s="36">
        <f>IF(G15="","",REPT("█",MIN(ROUND(G15*20),20)))&amp;" · 월급 10%"</f>
        <v/>
      </c>
    </row>
    <row r="16">
      <c r="A16" s="34" t="inlineStr">
        <is>
          <t>선교</t>
        </is>
      </c>
      <c r="B16" s="4" t="inlineStr">
        <is>
          <t>선교 헌금</t>
        </is>
      </c>
      <c r="C16" s="6" t="n">
        <v>120000</v>
      </c>
      <c r="D16" s="6" t="n">
        <v>1440000</v>
      </c>
      <c r="E16" s="6">
        <f>-SUMIFS('가계부 내역'!$G:$G,'가계부 내역'!$K:$K,B16,'가계부 내역'!$A:$A,"&gt;="&amp;DATE(2026,01,01),'가계부 내역'!$A:$A,"&lt;="&amp;DATE(2026,12,31))</f>
        <v/>
      </c>
      <c r="F16" s="6">
        <f>D16-E16</f>
        <v/>
      </c>
      <c r="G16" s="35">
        <f>IF(D16=0,"",E16/D16)</f>
        <v/>
      </c>
      <c r="H16" s="36">
        <f>IF(G16="","",REPT("█",MIN(ROUND(G16*20),20)))&amp;" · 매월 정기"</f>
        <v/>
      </c>
    </row>
    <row r="17">
      <c r="A17" s="34" t="inlineStr"/>
      <c r="B17" s="4" t="inlineStr">
        <is>
          <t>해외선교</t>
        </is>
      </c>
      <c r="C17" s="6" t="n">
        <v>150000</v>
      </c>
      <c r="D17" s="6" t="n">
        <v>1800000</v>
      </c>
      <c r="E17" s="6">
        <f>-SUMIFS('가계부 내역'!$G:$G,'가계부 내역'!$K:$K,B17,'가계부 내역'!$A:$A,"&gt;="&amp;DATE(2026,01,01),'가계부 내역'!$A:$A,"&lt;="&amp;DATE(2026,12,31))</f>
        <v/>
      </c>
      <c r="F17" s="6">
        <f>D17-E17</f>
        <v/>
      </c>
      <c r="G17" s="35">
        <f>IF(D17=0,"",E17/D17)</f>
        <v/>
      </c>
      <c r="H17" s="36">
        <f>IF(G17="","",REPT("█",MIN(ROUND(G17*20),20)))&amp;" · 연 1회 단기선교"</f>
        <v/>
      </c>
    </row>
    <row r="18">
      <c r="A18" s="34" t="inlineStr"/>
      <c r="B18" s="4" t="inlineStr">
        <is>
          <t>수련회</t>
        </is>
      </c>
      <c r="C18" s="6" t="n">
        <v>30000</v>
      </c>
      <c r="D18" s="6" t="n">
        <v>360000</v>
      </c>
      <c r="E18" s="6">
        <f>-SUMIFS('가계부 내역'!$G:$G,'가계부 내역'!$K:$K,B18,'가계부 내역'!$A:$A,"&gt;="&amp;DATE(2026,01,01),'가계부 내역'!$A:$A,"&lt;="&amp;DATE(2026,12,31))</f>
        <v/>
      </c>
      <c r="F18" s="6">
        <f>D18-E18</f>
        <v/>
      </c>
      <c r="G18" s="35">
        <f>IF(D18=0,"",E18/D18)</f>
        <v/>
      </c>
      <c r="H18" s="36">
        <f>IF(G18="","",REPT("█",MIN(ROUND(G18*20),20)))&amp;" · 연 2회 (겨울+여름)"</f>
        <v/>
      </c>
    </row>
    <row r="19">
      <c r="A19" s="5" t="inlineStr"/>
      <c r="B19" s="5" t="inlineStr">
        <is>
          <t>── 선교 소계 ──</t>
        </is>
      </c>
      <c r="C19" s="37">
        <f>SUM(C16:C18)</f>
        <v/>
      </c>
      <c r="D19" s="37">
        <f>SUM(D16:D18)</f>
        <v/>
      </c>
      <c r="E19" s="37">
        <f>SUM(E16:E18)</f>
        <v/>
      </c>
      <c r="F19" s="37">
        <f>SUM(F16:F18)</f>
        <v/>
      </c>
      <c r="G19" s="38">
        <f>IF(SUM(D16:D18)=0,"",SUM(E16:E18)/SUM(D16:D18))</f>
        <v/>
      </c>
      <c r="H19" s="5" t="inlineStr"/>
    </row>
    <row r="20">
      <c r="A20" s="39" t="inlineStr"/>
      <c r="B20" s="39" t="inlineStr">
        <is>
          <t>하나님의 몫 소계</t>
        </is>
      </c>
      <c r="C20" s="40">
        <f>C15+C16+C17+C18</f>
        <v/>
      </c>
      <c r="D20" s="40">
        <f>D15+D16+D17+D18</f>
        <v/>
      </c>
      <c r="E20" s="40">
        <f>E15+E16+E17+E18</f>
        <v/>
      </c>
      <c r="F20" s="40">
        <f>F15+F16+F17+F18</f>
        <v/>
      </c>
      <c r="G20" s="41">
        <f>IF((D15+D16+D17+D18)=0,"",(E15+E16+E17+E18)/(D15+D16+D17+D18))</f>
        <v/>
      </c>
      <c r="H20" s="39" t="inlineStr"/>
    </row>
    <row r="22">
      <c r="A22" s="42" t="inlineStr">
        <is>
          <t>2층 사명 프로젝트 — 하나님이 맡기신 관계와 섬김 — 목표가 예산을 이끈다</t>
        </is>
      </c>
    </row>
    <row r="23">
      <c r="A23" s="33" t="inlineStr"/>
      <c r="B23" s="33" t="inlineStr">
        <is>
          <t>프로젝트·항목</t>
        </is>
      </c>
      <c r="C23" s="33" t="inlineStr">
        <is>
          <t>월 예산</t>
        </is>
      </c>
      <c r="D23" s="33" t="inlineStr">
        <is>
          <t>연 예산</t>
        </is>
      </c>
      <c r="E23" s="33" t="inlineStr">
        <is>
          <t>실적</t>
        </is>
      </c>
      <c r="F23" s="33" t="inlineStr">
        <is>
          <t>잔여</t>
        </is>
      </c>
      <c r="G23" s="33" t="inlineStr">
        <is>
          <t>소진율</t>
        </is>
      </c>
      <c r="H23" s="33" t="inlineStr">
        <is>
          <t>비고</t>
        </is>
      </c>
    </row>
    <row r="24">
      <c r="A24" s="43" t="inlineStr">
        <is>
          <t>효도</t>
        </is>
      </c>
      <c r="B24" s="9" t="inlineStr">
        <is>
          <t>어머니 용돈/적금</t>
        </is>
      </c>
      <c r="C24" s="11" t="n">
        <v>800000</v>
      </c>
      <c r="D24" s="11" t="n">
        <v>9600000</v>
      </c>
      <c r="E24" s="11">
        <f>-SUMIFS('가계부 내역'!$G:$G,'가계부 내역'!$K:$K,B24,'가계부 내역'!$A:$A,"&gt;="&amp;DATE(2026,01,01),'가계부 내역'!$A:$A,"&lt;="&amp;DATE(2026,12,31))</f>
        <v/>
      </c>
      <c r="F24" s="11">
        <f>D24-E24</f>
        <v/>
      </c>
      <c r="G24" s="44">
        <f>IF(D24=0,"",E24/D24)</f>
        <v/>
      </c>
      <c r="H24" s="45">
        <f>IF(G24="","",REPT("█",MIN(ROUND(G24*20),20)))&amp;" · 용돈 50 + 적금 30"</f>
        <v/>
      </c>
    </row>
    <row r="25">
      <c r="A25" s="43" t="inlineStr">
        <is>
          <t>찬양</t>
        </is>
      </c>
      <c r="B25" s="9" t="inlineStr">
        <is>
          <t>찬양팀 회비</t>
        </is>
      </c>
      <c r="C25" s="11" t="n">
        <v>15000</v>
      </c>
      <c r="D25" s="11" t="n">
        <v>180000</v>
      </c>
      <c r="E25" s="11">
        <f>-SUMIFS('가계부 내역'!$G:$G,'가계부 내역'!$K:$K,B25,'가계부 내역'!$A:$A,"&gt;="&amp;DATE(2026,01,01),'가계부 내역'!$A:$A,"&lt;="&amp;DATE(2026,12,31))</f>
        <v/>
      </c>
      <c r="F25" s="11">
        <f>D25-E25</f>
        <v/>
      </c>
      <c r="G25" s="44">
        <f>IF(D25=0,"",E25/D25)</f>
        <v/>
      </c>
      <c r="H25" s="45">
        <f>IF(G25="","",REPT("█",MIN(ROUND(G25*20),20)))</f>
        <v/>
      </c>
    </row>
    <row r="26">
      <c r="A26" s="43" t="inlineStr">
        <is>
          <t>교회/양육</t>
        </is>
      </c>
      <c r="B26" s="9" t="inlineStr">
        <is>
          <t>식사교제</t>
        </is>
      </c>
      <c r="C26" s="11" t="n">
        <v>120000</v>
      </c>
      <c r="D26" s="11" t="n">
        <v>1440000</v>
      </c>
      <c r="E26" s="11">
        <f>-SUMIFS('가계부 내역'!$G:$G,'가계부 내역'!$K:$K,B26,'가계부 내역'!$A:$A,"&gt;="&amp;DATE(2026,01,01),'가계부 내역'!$A:$A,"&lt;="&amp;DATE(2026,12,31))</f>
        <v/>
      </c>
      <c r="F26" s="11">
        <f>D26-E26</f>
        <v/>
      </c>
      <c r="G26" s="44">
        <f>IF(D26=0,"",E26/D26)</f>
        <v/>
      </c>
      <c r="H26" s="45">
        <f>IF(G26="","",REPT("█",MIN(ROUND(G26*20),20)))&amp;" · 일요일 식사 분리"</f>
        <v/>
      </c>
    </row>
    <row r="27">
      <c r="A27" s="43" t="inlineStr">
        <is>
          <t>ACS</t>
        </is>
      </c>
      <c r="B27" s="9" t="inlineStr">
        <is>
          <t>모임비</t>
        </is>
      </c>
      <c r="C27" s="11" t="n">
        <v>50000</v>
      </c>
      <c r="D27" s="11" t="n">
        <v>600000</v>
      </c>
      <c r="E27" s="11">
        <f>-SUMIFS('가계부 내역'!$G:$G,'가계부 내역'!$K:$K,B27,'가계부 내역'!$A:$A,"&gt;="&amp;DATE(2026,01,01),'가계부 내역'!$A:$A,"&lt;="&amp;DATE(2026,12,31))</f>
        <v/>
      </c>
      <c r="F27" s="11">
        <f>D27-E27</f>
        <v/>
      </c>
      <c r="G27" s="44">
        <f>IF(D27=0,"",E27/D27)</f>
        <v/>
      </c>
      <c r="H27" s="45">
        <f>IF(G27="","",REPT("█",MIN(ROUND(G27*20),20)))&amp;" · 분기 1회, 회당 15만원"</f>
        <v/>
      </c>
    </row>
    <row r="28">
      <c r="A28" s="43" t="inlineStr">
        <is>
          <t>관계</t>
        </is>
      </c>
      <c r="B28" s="9" t="inlineStr">
        <is>
          <t>선물</t>
        </is>
      </c>
      <c r="C28" s="11" t="n">
        <v>40000</v>
      </c>
      <c r="D28" s="11" t="n">
        <v>480000</v>
      </c>
      <c r="E28" s="11">
        <f>-SUMIFS('가계부 내역'!$G:$G,'가계부 내역'!$K:$K,B28,'가계부 내역'!$A:$A,"&gt;="&amp;DATE(2026,01,01),'가계부 내역'!$A:$A,"&lt;="&amp;DATE(2026,12,31))</f>
        <v/>
      </c>
      <c r="F28" s="11">
        <f>D28-E28</f>
        <v/>
      </c>
      <c r="G28" s="44">
        <f>IF(D28=0,"",E28/D28)</f>
        <v/>
      </c>
      <c r="H28" s="45">
        <f>IF(G28="","",REPT("█",MIN(ROUND(G28*20),20)))&amp;" · 생일선물 약10명, 건당 5만원"</f>
        <v/>
      </c>
    </row>
    <row r="29">
      <c r="A29" s="43" t="inlineStr"/>
      <c r="B29" s="9" t="inlineStr">
        <is>
          <t>동기 계모임</t>
        </is>
      </c>
      <c r="C29" s="11" t="n">
        <v>15000</v>
      </c>
      <c r="D29" s="11" t="n">
        <v>180000</v>
      </c>
      <c r="E29" s="11">
        <f>-SUMIFS('가계부 내역'!$G:$G,'가계부 내역'!$K:$K,B29,'가계부 내역'!$A:$A,"&gt;="&amp;DATE(2026,01,01),'가계부 내역'!$A:$A,"&lt;="&amp;DATE(2026,12,31))</f>
        <v/>
      </c>
      <c r="F29" s="11">
        <f>D29-E29</f>
        <v/>
      </c>
      <c r="G29" s="44">
        <f>IF(D29=0,"",E29/D29)</f>
        <v/>
      </c>
      <c r="H29" s="45">
        <f>IF(G29="","",REPT("█",MIN(ROUND(G29*20),20)))</f>
        <v/>
      </c>
    </row>
    <row r="30">
      <c r="A30" s="10" t="inlineStr"/>
      <c r="B30" s="10" t="inlineStr">
        <is>
          <t>── 관계 소계 ──</t>
        </is>
      </c>
      <c r="C30" s="46">
        <f>SUM(C28:C29)</f>
        <v/>
      </c>
      <c r="D30" s="46">
        <f>SUM(D28:D29)</f>
        <v/>
      </c>
      <c r="E30" s="46">
        <f>SUM(E28:E29)</f>
        <v/>
      </c>
      <c r="F30" s="46">
        <f>SUM(F28:F29)</f>
        <v/>
      </c>
      <c r="G30" s="47">
        <f>IF(SUM(D28:D29)=0,"",SUM(E28:E29)/SUM(D28:D29))</f>
        <v/>
      </c>
      <c r="H30" s="10" t="inlineStr"/>
    </row>
    <row r="31">
      <c r="A31" s="43" t="inlineStr">
        <is>
          <t>경조사</t>
        </is>
      </c>
      <c r="B31" s="9" t="inlineStr">
        <is>
          <t>경조비</t>
        </is>
      </c>
      <c r="C31" s="11" t="n">
        <v>70000</v>
      </c>
      <c r="D31" s="11" t="n">
        <v>840000</v>
      </c>
      <c r="E31" s="11">
        <f>-SUMIFS('가계부 내역'!$G:$G,'가계부 내역'!$K:$K,B31,'가계부 내역'!$A:$A,"&gt;="&amp;DATE(2026,01,01),'가계부 내역'!$A:$A,"&lt;="&amp;DATE(2026,12,31))</f>
        <v/>
      </c>
      <c r="F31" s="11">
        <f>D31-E31</f>
        <v/>
      </c>
      <c r="G31" s="44">
        <f>IF(D31=0,"",E31/D31)</f>
        <v/>
      </c>
      <c r="H31" s="45">
        <f>IF(G31="","",REPT("█",MIN(ROUND(G31*20),20)))&amp;" · 건당 10만원, 연 7~8건"</f>
        <v/>
      </c>
    </row>
    <row r="32">
      <c r="A32" s="48" t="inlineStr"/>
      <c r="B32" s="48" t="inlineStr">
        <is>
          <t>사명 프로젝트 소계</t>
        </is>
      </c>
      <c r="C32" s="49">
        <f>C24+C25+C26+C27+C28+C29+C31</f>
        <v/>
      </c>
      <c r="D32" s="49">
        <f>D24+D25+D26+D27+D28+D29+D31</f>
        <v/>
      </c>
      <c r="E32" s="49">
        <f>E24+E25+E26+E27+E28+E29+E31</f>
        <v/>
      </c>
      <c r="F32" s="49">
        <f>F24+F25+F26+F27+F28+F29+F31</f>
        <v/>
      </c>
      <c r="G32" s="50">
        <f>IF((D24+D25+D26+D27+D28+D29+D31)=0,"",(E24+E25+E26+E27+E28+E29+E31)/(D24+D25+D26+D27+D28+D29+D31))</f>
        <v/>
      </c>
      <c r="H32" s="48" t="inlineStr"/>
    </row>
    <row r="34">
      <c r="A34" s="51" t="inlineStr">
        <is>
          <t>3층 청지기 운영 — 건강하게 살기 위한 기본 — 절약이 아니라 적정 관리</t>
        </is>
      </c>
    </row>
    <row r="35">
      <c r="A35" s="33" t="inlineStr"/>
      <c r="B35" s="33" t="inlineStr">
        <is>
          <t>프로젝트·항목</t>
        </is>
      </c>
      <c r="C35" s="33" t="inlineStr">
        <is>
          <t>월 예산</t>
        </is>
      </c>
      <c r="D35" s="33" t="inlineStr">
        <is>
          <t>연 예산</t>
        </is>
      </c>
      <c r="E35" s="33" t="inlineStr">
        <is>
          <t>실적</t>
        </is>
      </c>
      <c r="F35" s="33" t="inlineStr">
        <is>
          <t>잔여</t>
        </is>
      </c>
      <c r="G35" s="33" t="inlineStr">
        <is>
          <t>소진율</t>
        </is>
      </c>
      <c r="H35" s="33" t="inlineStr">
        <is>
          <t>비고</t>
        </is>
      </c>
    </row>
    <row r="36">
      <c r="A36" s="52" t="inlineStr">
        <is>
          <t>고정비</t>
        </is>
      </c>
      <c r="B36" s="14" t="inlineStr">
        <is>
          <t>자동차 할부</t>
        </is>
      </c>
      <c r="C36" s="16" t="n">
        <v>710000</v>
      </c>
      <c r="D36" s="16" t="n">
        <v>8520000</v>
      </c>
      <c r="E36" s="16">
        <f>-SUMIFS('가계부 내역'!$G:$G,'가계부 내역'!$K:$K,B36,'가계부 내역'!$A:$A,"&gt;="&amp;DATE(2026,01,01),'가계부 내역'!$A:$A,"&lt;="&amp;DATE(2026,12,31))</f>
        <v/>
      </c>
      <c r="F36" s="16">
        <f>D36-E36</f>
        <v/>
      </c>
      <c r="G36" s="53">
        <f>IF(D36=0,"",E36/D36)</f>
        <v/>
      </c>
      <c r="H36" s="54">
        <f>IF(G36="","",REPT("█",MIN(ROUND(G36*20),20)))&amp;" · 할부금 고정 (실적 700~704K)"</f>
        <v/>
      </c>
    </row>
    <row r="37">
      <c r="A37" s="52" t="inlineStr"/>
      <c r="B37" s="14" t="inlineStr">
        <is>
          <t>보험</t>
        </is>
      </c>
      <c r="C37" s="16" t="n">
        <v>160000</v>
      </c>
      <c r="D37" s="16" t="n">
        <v>1920000</v>
      </c>
      <c r="E37" s="16">
        <f>-SUMIFS('가계부 내역'!$G:$G,'가계부 내역'!$K:$K,B37,'가계부 내역'!$A:$A,"&gt;="&amp;DATE(2026,01,01),'가계부 내역'!$A:$A,"&lt;="&amp;DATE(2026,12,31))</f>
        <v/>
      </c>
      <c r="F37" s="16">
        <f>D37-E37</f>
        <v/>
      </c>
      <c r="G37" s="53">
        <f>IF(D37=0,"",E37/D37)</f>
        <v/>
      </c>
      <c r="H37" s="54">
        <f>IF(G37="","",REPT("█",MIN(ROUND(G37*20),20)))&amp;" · 실적 153K"</f>
        <v/>
      </c>
    </row>
    <row r="38">
      <c r="A38" s="52" t="inlineStr"/>
      <c r="B38" s="14" t="inlineStr">
        <is>
          <t>통신</t>
        </is>
      </c>
      <c r="C38" s="16" t="n">
        <v>130000</v>
      </c>
      <c r="D38" s="16" t="n">
        <v>1560000</v>
      </c>
      <c r="E38" s="16">
        <f>-SUMIFS('가계부 내역'!$G:$G,'가계부 내역'!$K:$K,B38,'가계부 내역'!$A:$A,"&gt;="&amp;DATE(2026,01,01),'가계부 내역'!$A:$A,"&lt;="&amp;DATE(2026,12,31))</f>
        <v/>
      </c>
      <c r="F38" s="16">
        <f>D38-E38</f>
        <v/>
      </c>
      <c r="G38" s="53">
        <f>IF(D38=0,"",E38/D38)</f>
        <v/>
      </c>
      <c r="H38" s="54">
        <f>IF(G38="","",REPT("█",MIN(ROUND(G38*20),20)))&amp;" · 실적 122K"</f>
        <v/>
      </c>
    </row>
    <row r="39">
      <c r="A39" s="52" t="inlineStr"/>
      <c r="B39" s="14" t="inlineStr">
        <is>
          <t>커플통장</t>
        </is>
      </c>
      <c r="C39" s="16" t="n">
        <v>200000</v>
      </c>
      <c r="D39" s="16" t="n">
        <v>2400000</v>
      </c>
      <c r="E39" s="16">
        <f>-SUMIFS('가계부 내역'!$G:$G,'가계부 내역'!$K:$K,B39,'가계부 내역'!$A:$A,"&gt;="&amp;DATE(2026,01,01),'가계부 내역'!$A:$A,"&lt;="&amp;DATE(2026,12,31))</f>
        <v/>
      </c>
      <c r="F39" s="16">
        <f>D39-E39</f>
        <v/>
      </c>
      <c r="G39" s="53">
        <f>IF(D39=0,"",E39/D39)</f>
        <v/>
      </c>
      <c r="H39" s="54">
        <f>IF(G39="","",REPT("█",MIN(ROUND(G39*20),20)))&amp;" · 약정"</f>
        <v/>
      </c>
    </row>
    <row r="40">
      <c r="A40" s="52" t="inlineStr"/>
      <c r="B40" s="14" t="inlineStr">
        <is>
          <t>AI</t>
        </is>
      </c>
      <c r="C40" s="16" t="n">
        <v>60000</v>
      </c>
      <c r="D40" s="16" t="n">
        <v>720000</v>
      </c>
      <c r="E40" s="16">
        <f>-SUMIFS('가계부 내역'!$G:$G,'가계부 내역'!$K:$K,B40,'가계부 내역'!$A:$A,"&gt;="&amp;DATE(2026,01,01),'가계부 내역'!$A:$A,"&lt;="&amp;DATE(2026,12,31))</f>
        <v/>
      </c>
      <c r="F40" s="16">
        <f>D40-E40</f>
        <v/>
      </c>
      <c r="G40" s="53">
        <f>IF(D40=0,"",E40/D40)</f>
        <v/>
      </c>
      <c r="H40" s="54">
        <f>IF(G40="","",REPT("█",MIN(ROUND(G40*20),20)))&amp;" · Claude Pro + ChatGPT Plus (Max 전환 시 재조정)"</f>
        <v/>
      </c>
    </row>
    <row r="41">
      <c r="A41" s="15" t="inlineStr"/>
      <c r="B41" s="15" t="inlineStr">
        <is>
          <t>── 고정비 소계 ──</t>
        </is>
      </c>
      <c r="C41" s="55">
        <f>SUM(C36:C40)</f>
        <v/>
      </c>
      <c r="D41" s="55">
        <f>SUM(D36:D40)</f>
        <v/>
      </c>
      <c r="E41" s="55">
        <f>SUM(E36:E40)</f>
        <v/>
      </c>
      <c r="F41" s="55">
        <f>SUM(F36:F40)</f>
        <v/>
      </c>
      <c r="G41" s="56">
        <f>IF(SUM(D36:D40)=0,"",SUM(E36:E40)/SUM(D36:D40))</f>
        <v/>
      </c>
      <c r="H41" s="15" t="inlineStr"/>
    </row>
    <row r="42">
      <c r="A42" s="52" t="inlineStr">
        <is>
          <t>생활비</t>
        </is>
      </c>
      <c r="B42" s="14" t="inlineStr">
        <is>
          <t>식비</t>
        </is>
      </c>
      <c r="C42" s="16" t="n">
        <v>500000</v>
      </c>
      <c r="D42" s="16" t="n">
        <v>6000000</v>
      </c>
      <c r="E42" s="16">
        <f>-SUMIFS('가계부 내역'!$G:$G,'가계부 내역'!$K:$K,B42,'가계부 내역'!$A:$A,"&gt;="&amp;DATE(2026,01,01),'가계부 내역'!$A:$A,"&lt;="&amp;DATE(2026,12,31))</f>
        <v/>
      </c>
      <c r="F42" s="16">
        <f>D42-E42</f>
        <v/>
      </c>
      <c r="G42" s="53">
        <f>IF(D42=0,"",E42/D42)</f>
        <v/>
      </c>
      <c r="H42" s="54">
        <f>IF(G42="","",REPT("█",MIN(ROUND(G42*20),20)))&amp;" · 일요일 제외, 카페 포함 (실적 약 920K → 500K 절감목표)"</f>
        <v/>
      </c>
    </row>
    <row r="43">
      <c r="A43" s="52" t="inlineStr"/>
      <c r="B43" s="14" t="inlineStr">
        <is>
          <t>교통</t>
        </is>
      </c>
      <c r="C43" s="16" t="n">
        <v>80000</v>
      </c>
      <c r="D43" s="16" t="n">
        <v>960000</v>
      </c>
      <c r="E43" s="16">
        <f>-SUMIFS('가계부 내역'!$G:$G,'가계부 내역'!$K:$K,B43,'가계부 내역'!$A:$A,"&gt;="&amp;DATE(2026,01,01),'가계부 내역'!$A:$A,"&lt;="&amp;DATE(2026,12,31))</f>
        <v/>
      </c>
      <c r="F43" s="16">
        <f>D43-E43</f>
        <v/>
      </c>
      <c r="G43" s="53">
        <f>IF(D43=0,"",E43/D43)</f>
        <v/>
      </c>
      <c r="H43" s="54">
        <f>IF(G43="","",REPT("█",MIN(ROUND(G43*20),20)))&amp;" · 실적 77K"</f>
        <v/>
      </c>
    </row>
    <row r="44">
      <c r="A44" s="52" t="inlineStr"/>
      <c r="B44" s="14" t="inlineStr">
        <is>
          <t>자동차 유지</t>
        </is>
      </c>
      <c r="C44" s="16" t="n">
        <v>300000</v>
      </c>
      <c r="D44" s="16" t="n">
        <v>3600000</v>
      </c>
      <c r="E44" s="16">
        <f>-SUMIFS('가계부 내역'!$G:$G,'가계부 내역'!$K:$K,B44,'가계부 내역'!$A:$A,"&gt;="&amp;DATE(2026,01,01),'가계부 내역'!$A:$A,"&lt;="&amp;DATE(2026,12,31))</f>
        <v/>
      </c>
      <c r="F44" s="16">
        <f>D44-E44</f>
        <v/>
      </c>
      <c r="G44" s="53">
        <f>IF(D44=0,"",E44/D44)</f>
        <v/>
      </c>
      <c r="H44" s="54">
        <f>IF(G44="","",REPT("█",MIN(ROUND(G44*20),20)))&amp;" · 주유/주차/톨비 (실적 월 250K)"</f>
        <v/>
      </c>
    </row>
    <row r="45">
      <c r="A45" s="52" t="inlineStr"/>
      <c r="B45" s="14" t="inlineStr">
        <is>
          <t>생활용품</t>
        </is>
      </c>
      <c r="C45" s="16" t="n">
        <v>50000</v>
      </c>
      <c r="D45" s="16" t="n">
        <v>600000</v>
      </c>
      <c r="E45" s="16">
        <f>-SUMIFS('가계부 내역'!$G:$G,'가계부 내역'!$K:$K,B45,'가계부 내역'!$A:$A,"&gt;="&amp;DATE(2026,01,01),'가계부 내역'!$A:$A,"&lt;="&amp;DATE(2026,12,31))</f>
        <v/>
      </c>
      <c r="F45" s="16">
        <f>D45-E45</f>
        <v/>
      </c>
      <c r="G45" s="53">
        <f>IF(D45=0,"",E45/D45)</f>
        <v/>
      </c>
      <c r="H45" s="54">
        <f>IF(G45="","",REPT("█",MIN(ROUND(G45*20),20)))&amp;" · 쿠팡/다이소/크린토피아 등"</f>
        <v/>
      </c>
    </row>
    <row r="46">
      <c r="A46" s="52" t="inlineStr"/>
      <c r="B46" s="14" t="inlineStr">
        <is>
          <t>뷰티/미용</t>
        </is>
      </c>
      <c r="C46" s="16" t="n">
        <v>50000</v>
      </c>
      <c r="D46" s="16" t="n">
        <v>600000</v>
      </c>
      <c r="E46" s="16">
        <f>-SUMIFS('가계부 내역'!$G:$G,'가계부 내역'!$K:$K,B46,'가계부 내역'!$A:$A,"&gt;="&amp;DATE(2026,01,01),'가계부 내역'!$A:$A,"&lt;="&amp;DATE(2026,12,31))</f>
        <v/>
      </c>
      <c r="F46" s="16">
        <f>D46-E46</f>
        <v/>
      </c>
      <c r="G46" s="53">
        <f>IF(D46=0,"",E46/D46)</f>
        <v/>
      </c>
      <c r="H46" s="54">
        <f>IF(G46="","",REPT("█",MIN(ROUND(G46*20),20)))&amp;" · 실적75K → 절감"</f>
        <v/>
      </c>
    </row>
    <row r="47">
      <c r="A47" s="15" t="inlineStr"/>
      <c r="B47" s="15" t="inlineStr">
        <is>
          <t>── 생활비 소계 ──</t>
        </is>
      </c>
      <c r="C47" s="55">
        <f>SUM(C42:C46)</f>
        <v/>
      </c>
      <c r="D47" s="55">
        <f>SUM(D42:D46)</f>
        <v/>
      </c>
      <c r="E47" s="55">
        <f>SUM(E42:E46)</f>
        <v/>
      </c>
      <c r="F47" s="55">
        <f>SUM(F42:F46)</f>
        <v/>
      </c>
      <c r="G47" s="56">
        <f>IF(SUM(D42:D46)=0,"",SUM(E42:E46)/SUM(D42:D46))</f>
        <v/>
      </c>
      <c r="H47" s="15" t="inlineStr"/>
    </row>
    <row r="48">
      <c r="A48" s="57" t="inlineStr"/>
      <c r="B48" s="57" t="inlineStr">
        <is>
          <t>청지기 운영 소계</t>
        </is>
      </c>
      <c r="C48" s="58">
        <f>C36+C37+C38+C39+C40+C42+C43+C44+C45+C46</f>
        <v/>
      </c>
      <c r="D48" s="58">
        <f>D36+D37+D38+D39+D40+D42+D43+D44+D45+D46</f>
        <v/>
      </c>
      <c r="E48" s="58">
        <f>E36+E37+E38+E39+E40+E42+E43+E44+E45+E46</f>
        <v/>
      </c>
      <c r="F48" s="58">
        <f>F36+F37+F38+F39+F40+F42+F43+F44+F45+F46</f>
        <v/>
      </c>
      <c r="G48" s="59">
        <f>IF((D36+D37+D38+D39+D40+D42+D43+D44+D45+D46)=0,"",(E36+E37+E38+E39+E40+E42+E43+E44+E45+E46)/(D36+D37+D38+D39+D40+D42+D43+D44+D45+D46))</f>
        <v/>
      </c>
      <c r="H48" s="57" t="inlineStr"/>
    </row>
    <row r="50">
      <c r="A50" s="60" t="inlineStr">
        <is>
          <t>4층 성장 씨앗 — 미래의 청지기 역량을 키우는 투자</t>
        </is>
      </c>
    </row>
    <row r="51">
      <c r="A51" s="33" t="inlineStr"/>
      <c r="B51" s="33" t="inlineStr">
        <is>
          <t>프로젝트·항목</t>
        </is>
      </c>
      <c r="C51" s="33" t="inlineStr">
        <is>
          <t>월 예산</t>
        </is>
      </c>
      <c r="D51" s="33" t="inlineStr">
        <is>
          <t>연 예산</t>
        </is>
      </c>
      <c r="E51" s="33" t="inlineStr">
        <is>
          <t>실적</t>
        </is>
      </c>
      <c r="F51" s="33" t="inlineStr">
        <is>
          <t>잔여</t>
        </is>
      </c>
      <c r="G51" s="33" t="inlineStr">
        <is>
          <t>소진율</t>
        </is>
      </c>
      <c r="H51" s="33" t="inlineStr">
        <is>
          <t>비고</t>
        </is>
      </c>
    </row>
    <row r="52">
      <c r="A52" s="61" t="inlineStr">
        <is>
          <t>자기계발</t>
        </is>
      </c>
      <c r="B52" s="19" t="inlineStr">
        <is>
          <t>도서</t>
        </is>
      </c>
      <c r="C52" s="21" t="n">
        <v>20000</v>
      </c>
      <c r="D52" s="21" t="n">
        <v>240000</v>
      </c>
      <c r="E52" s="21">
        <f>-SUMIFS('가계부 내역'!$G:$G,'가계부 내역'!$K:$K,B52,'가계부 내역'!$A:$A,"&gt;="&amp;DATE(2026,01,01),'가계부 내역'!$A:$A,"&lt;="&amp;DATE(2026,12,31))</f>
        <v/>
      </c>
      <c r="F52" s="21">
        <f>D52-E52</f>
        <v/>
      </c>
      <c r="G52" s="62">
        <f>IF(D52=0,"",E52/D52)</f>
        <v/>
      </c>
      <c r="H52" s="63">
        <f>IF(G52="","",REPT("█",MIN(ROUND(G52*20),20)))</f>
        <v/>
      </c>
    </row>
    <row r="53">
      <c r="A53" s="61" t="inlineStr">
        <is>
          <t>저축/투자</t>
        </is>
      </c>
      <c r="B53" s="19" t="inlineStr">
        <is>
          <t>저축</t>
        </is>
      </c>
      <c r="C53" s="21" t="n">
        <v>0</v>
      </c>
      <c r="D53" s="21" t="n">
        <v>5000000</v>
      </c>
      <c r="E53" s="21">
        <f>-SUMIFS('가계부 내역'!$G:$G,'가계부 내역'!$K:$K,B53,'가계부 내역'!$A:$A,"&gt;="&amp;DATE(2026,01,01),'가계부 내역'!$A:$A,"&lt;="&amp;DATE(2026,12,31))</f>
        <v/>
      </c>
      <c r="F53" s="21">
        <f>D53-E53</f>
        <v/>
      </c>
      <c r="G53" s="62">
        <f>IF(D53=0,"",E53/D53)</f>
        <v/>
      </c>
      <c r="H53" s="63">
        <f>IF(G53="","",REPT("█",MIN(ROUND(G53*20),20)))&amp;" · 상여금에서 배분 / 상여금 5,000,000"</f>
        <v/>
      </c>
    </row>
    <row r="54">
      <c r="A54" s="61" t="inlineStr"/>
      <c r="B54" s="19" t="inlineStr">
        <is>
          <t>주식</t>
        </is>
      </c>
      <c r="C54" s="21" t="n">
        <v>0</v>
      </c>
      <c r="D54" s="21" t="n">
        <v>10000000</v>
      </c>
      <c r="E54" s="21">
        <f>-SUMIFS('가계부 내역'!$G:$G,'가계부 내역'!$K:$K,B54,'가계부 내역'!$A:$A,"&gt;="&amp;DATE(2026,01,01),'가계부 내역'!$A:$A,"&lt;="&amp;DATE(2026,12,31))</f>
        <v/>
      </c>
      <c r="F54" s="21">
        <f>D54-E54</f>
        <v/>
      </c>
      <c r="G54" s="62">
        <f>IF(D54=0,"",E54/D54)</f>
        <v/>
      </c>
      <c r="H54" s="63">
        <f>IF(G54="","",REPT("█",MIN(ROUND(G54*20),20)))&amp;" · 상여금에서 배분 / 상여금 10,000,000"</f>
        <v/>
      </c>
    </row>
    <row r="55">
      <c r="A55" s="20" t="inlineStr"/>
      <c r="B55" s="20" t="inlineStr">
        <is>
          <t>── 저축/투자 소계 ──</t>
        </is>
      </c>
      <c r="C55" s="64">
        <f>SUM(C53:C54)</f>
        <v/>
      </c>
      <c r="D55" s="64">
        <f>SUM(D53:D54)</f>
        <v/>
      </c>
      <c r="E55" s="64">
        <f>SUM(E53:E54)</f>
        <v/>
      </c>
      <c r="F55" s="64">
        <f>SUM(F53:F54)</f>
        <v/>
      </c>
      <c r="G55" s="65">
        <f>IF(SUM(D53:D54)=0,"",SUM(E53:E54)/SUM(D53:D54))</f>
        <v/>
      </c>
      <c r="H55" s="20" t="inlineStr"/>
    </row>
    <row r="56">
      <c r="A56" s="66" t="inlineStr"/>
      <c r="B56" s="66" t="inlineStr">
        <is>
          <t>성장 씨앗 소계</t>
        </is>
      </c>
      <c r="C56" s="67">
        <f>C52+C53+C54</f>
        <v/>
      </c>
      <c r="D56" s="67">
        <f>D52+D53+D54</f>
        <v/>
      </c>
      <c r="E56" s="67">
        <f>E52+E53+E54</f>
        <v/>
      </c>
      <c r="F56" s="67">
        <f>F52+F53+F54</f>
        <v/>
      </c>
      <c r="G56" s="68">
        <f>IF((D52+D53+D54)=0,"",(E52+E53+E54)/(D52+D53+D54))</f>
        <v/>
      </c>
      <c r="H56" s="66" t="inlineStr"/>
    </row>
    <row r="58">
      <c r="A58" s="69" t="inlineStr">
        <is>
          <t>5층 신뢰 여백 — 하나님이 주시는 여유 + 돌발 대비 — 모자라면 구한다</t>
        </is>
      </c>
    </row>
    <row r="59">
      <c r="A59" s="33" t="inlineStr"/>
      <c r="B59" s="33" t="inlineStr">
        <is>
          <t>프로젝트·항목</t>
        </is>
      </c>
      <c r="C59" s="33" t="inlineStr">
        <is>
          <t>월 예산</t>
        </is>
      </c>
      <c r="D59" s="33" t="inlineStr">
        <is>
          <t>연 예산</t>
        </is>
      </c>
      <c r="E59" s="33" t="inlineStr">
        <is>
          <t>실적</t>
        </is>
      </c>
      <c r="F59" s="33" t="inlineStr">
        <is>
          <t>잔여</t>
        </is>
      </c>
      <c r="G59" s="33" t="inlineStr">
        <is>
          <t>소진율</t>
        </is>
      </c>
      <c r="H59" s="33" t="inlineStr">
        <is>
          <t>비고</t>
        </is>
      </c>
    </row>
    <row r="60">
      <c r="A60" s="70" t="inlineStr">
        <is>
          <t>건강</t>
        </is>
      </c>
      <c r="B60" s="24" t="inlineStr">
        <is>
          <t>의료/건강</t>
        </is>
      </c>
      <c r="C60" s="26" t="n">
        <v>150000</v>
      </c>
      <c r="D60" s="26" t="n">
        <v>1800000</v>
      </c>
      <c r="E60" s="26">
        <f>-SUMIFS('가계부 내역'!$G:$G,'가계부 내역'!$K:$K,B60,'가계부 내역'!$A:$A,"&gt;="&amp;DATE(2026,01,01),'가계부 내역'!$A:$A,"&lt;="&amp;DATE(2026,12,31))</f>
        <v/>
      </c>
      <c r="F60" s="26">
        <f>D60-E60</f>
        <v/>
      </c>
      <c r="G60" s="71">
        <f>IF(D60=0,"",E60/D60)</f>
        <v/>
      </c>
      <c r="H60" s="72">
        <f>IF(G60="","",REPT("█",MIN(ROUND(G60*20),20)))&amp;" · 실적 월 150K 수준"</f>
        <v/>
      </c>
    </row>
    <row r="61">
      <c r="A61" s="70" t="inlineStr">
        <is>
          <t>자동차(연간)</t>
        </is>
      </c>
      <c r="B61" s="24" t="inlineStr">
        <is>
          <t>자동차 유지(연간)</t>
        </is>
      </c>
      <c r="C61" s="26" t="n">
        <v>100000</v>
      </c>
      <c r="D61" s="26" t="n">
        <v>1200000</v>
      </c>
      <c r="E61" s="26">
        <f>-SUMIFS('가계부 내역'!$G:$G,'가계부 내역'!$K:$K,B61,'가계부 내역'!$A:$A,"&gt;="&amp;DATE(2026,01,01),'가계부 내역'!$A:$A,"&lt;="&amp;DATE(2026,12,31))</f>
        <v/>
      </c>
      <c r="F61" s="26">
        <f>D61-E61</f>
        <v/>
      </c>
      <c r="G61" s="71">
        <f>IF(D61=0,"",E61/D61)</f>
        <v/>
      </c>
      <c r="H61" s="72">
        <f>IF(G61="","",REPT("█",MIN(ROUND(G61*20),20)))&amp;" · 보험 70만 + 정비/수리 50만"</f>
        <v/>
      </c>
    </row>
    <row r="62">
      <c r="A62" s="70" t="inlineStr">
        <is>
          <t>대형 이벤트</t>
        </is>
      </c>
      <c r="B62" s="24" t="inlineStr">
        <is>
          <t>어머니 선물</t>
        </is>
      </c>
      <c r="C62" s="26" t="n">
        <v>100000</v>
      </c>
      <c r="D62" s="26" t="n">
        <v>1200000</v>
      </c>
      <c r="E62" s="26">
        <f>-SUMIFS('가계부 내역'!$G:$G,'가계부 내역'!$K:$K,B62,'가계부 내역'!$A:$A,"&gt;="&amp;DATE(2026,01,01),'가계부 내역'!$A:$A,"&lt;="&amp;DATE(2026,12,31))</f>
        <v/>
      </c>
      <c r="F62" s="26">
        <f>D62-E62</f>
        <v/>
      </c>
      <c r="G62" s="71">
        <f>IF(D62=0,"",E62/D62)</f>
        <v/>
      </c>
      <c r="H62" s="72">
        <f>IF(G62="","",REPT("█",MIN(ROUND(G62*20),20)))&amp;" · 선물/명절/병원비 등"</f>
        <v/>
      </c>
    </row>
    <row r="63">
      <c r="A63" s="70" t="inlineStr"/>
      <c r="B63" s="24" t="inlineStr">
        <is>
          <t>대형선물</t>
        </is>
      </c>
      <c r="C63" s="26" t="n">
        <v>50000</v>
      </c>
      <c r="D63" s="26" t="n">
        <v>600000</v>
      </c>
      <c r="E63" s="26">
        <f>-SUMIFS('가계부 내역'!$G:$G,'가계부 내역'!$K:$K,B63,'가계부 내역'!$A:$A,"&gt;="&amp;DATE(2026,01,01),'가계부 내역'!$A:$A,"&lt;="&amp;DATE(2026,12,31))</f>
        <v/>
      </c>
      <c r="F63" s="26">
        <f>D63-E63</f>
        <v/>
      </c>
      <c r="G63" s="71">
        <f>IF(D63=0,"",E63/D63)</f>
        <v/>
      </c>
      <c r="H63" s="72">
        <f>IF(G63="","",REPT("█",MIN(ROUND(G63*20),20)))</f>
        <v/>
      </c>
    </row>
    <row r="64">
      <c r="A64" s="70" t="inlineStr"/>
      <c r="B64" s="24" t="inlineStr">
        <is>
          <t>효도 이벤트</t>
        </is>
      </c>
      <c r="C64" s="26" t="n">
        <v>50000</v>
      </c>
      <c r="D64" s="26" t="n">
        <v>600000</v>
      </c>
      <c r="E64" s="26">
        <f>-SUMIFS('가계부 내역'!$G:$G,'가계부 내역'!$K:$K,B64,'가계부 내역'!$A:$A,"&gt;="&amp;DATE(2026,01,01),'가계부 내역'!$A:$A,"&lt;="&amp;DATE(2026,12,31))</f>
        <v/>
      </c>
      <c r="F64" s="26">
        <f>D64-E64</f>
        <v/>
      </c>
      <c r="G64" s="71">
        <f>IF(D64=0,"",E64/D64)</f>
        <v/>
      </c>
      <c r="H64" s="72">
        <f>IF(G64="","",REPT("█",MIN(ROUND(G64*20),20)))&amp;" · 어머니 여행/큰선물"</f>
        <v/>
      </c>
    </row>
    <row r="65">
      <c r="A65" s="25" t="inlineStr"/>
      <c r="B65" s="25" t="inlineStr">
        <is>
          <t>── 대형 이벤트 소계 ──</t>
        </is>
      </c>
      <c r="C65" s="73">
        <f>SUM(C62:C64)</f>
        <v/>
      </c>
      <c r="D65" s="73">
        <f>SUM(D62:D64)</f>
        <v/>
      </c>
      <c r="E65" s="73">
        <f>SUM(E62:E64)</f>
        <v/>
      </c>
      <c r="F65" s="73">
        <f>SUM(F62:F64)</f>
        <v/>
      </c>
      <c r="G65" s="74">
        <f>IF(SUM(D62:D64)=0,"",SUM(E62:E64)/SUM(D62:D64))</f>
        <v/>
      </c>
      <c r="H65" s="25" t="inlineStr"/>
    </row>
    <row r="66">
      <c r="A66" s="70" t="inlineStr">
        <is>
          <t>라이프스타일</t>
        </is>
      </c>
      <c r="B66" s="24" t="inlineStr">
        <is>
          <t>패션/쇼핑</t>
        </is>
      </c>
      <c r="C66" s="26" t="n">
        <v>80000</v>
      </c>
      <c r="D66" s="26" t="n">
        <v>960000</v>
      </c>
      <c r="E66" s="26">
        <f>-SUMIFS('가계부 내역'!$G:$G,'가계부 내역'!$K:$K,B66,'가계부 내역'!$A:$A,"&gt;="&amp;DATE(2026,01,01),'가계부 내역'!$A:$A,"&lt;="&amp;DATE(2026,12,31))</f>
        <v/>
      </c>
      <c r="F66" s="26">
        <f>D66-E66</f>
        <v/>
      </c>
      <c r="G66" s="71">
        <f>IF(D66=0,"",E66/D66)</f>
        <v/>
      </c>
      <c r="H66" s="72">
        <f>IF(G66="","",REPT("█",MIN(ROUND(G66*20),20)))</f>
        <v/>
      </c>
    </row>
    <row r="67">
      <c r="A67" s="70" t="inlineStr"/>
      <c r="B67" s="24" t="inlineStr">
        <is>
          <t>문화/여가</t>
        </is>
      </c>
      <c r="C67" s="26" t="n">
        <v>80000</v>
      </c>
      <c r="D67" s="26" t="n">
        <v>960000</v>
      </c>
      <c r="E67" s="26">
        <f>-SUMIFS('가계부 내역'!$G:$G,'가계부 내역'!$K:$K,B67,'가계부 내역'!$A:$A,"&gt;="&amp;DATE(2026,01,01),'가계부 내역'!$A:$A,"&lt;="&amp;DATE(2026,12,31))</f>
        <v/>
      </c>
      <c r="F67" s="26">
        <f>D67-E67</f>
        <v/>
      </c>
      <c r="G67" s="71">
        <f>IF(D67=0,"",E67/D67)</f>
        <v/>
      </c>
      <c r="H67" s="72">
        <f>IF(G67="","",REPT("█",MIN(ROUND(G67*20),20)))</f>
        <v/>
      </c>
    </row>
    <row r="68">
      <c r="A68" s="25" t="inlineStr"/>
      <c r="B68" s="25" t="inlineStr">
        <is>
          <t>── 라이프스타일 소계 ──</t>
        </is>
      </c>
      <c r="C68" s="73">
        <f>SUM(C66:C67)</f>
        <v/>
      </c>
      <c r="D68" s="73">
        <f>SUM(D66:D67)</f>
        <v/>
      </c>
      <c r="E68" s="73">
        <f>SUM(E66:E67)</f>
        <v/>
      </c>
      <c r="F68" s="73">
        <f>SUM(F66:F67)</f>
        <v/>
      </c>
      <c r="G68" s="74">
        <f>IF(SUM(D66:D67)=0,"",SUM(E66:E67)/SUM(D66:D67))</f>
        <v/>
      </c>
      <c r="H68" s="25" t="inlineStr"/>
    </row>
    <row r="69">
      <c r="A69" s="70" t="inlineStr">
        <is>
          <t>예비</t>
        </is>
      </c>
      <c r="B69" s="24" t="inlineStr">
        <is>
          <t>예비비</t>
        </is>
      </c>
      <c r="C69" s="26" t="n">
        <v>100000</v>
      </c>
      <c r="D69" s="26" t="n">
        <v>1200000</v>
      </c>
      <c r="E69" s="26">
        <f>-SUMIFS('가계부 내역'!$G:$G,'가계부 내역'!$K:$K,B69,'가계부 내역'!$A:$A,"&gt;="&amp;DATE(2026,01,01),'가계부 내역'!$A:$A,"&lt;="&amp;DATE(2026,12,31))</f>
        <v/>
      </c>
      <c r="F69" s="26">
        <f>D69-E69</f>
        <v/>
      </c>
      <c r="G69" s="71">
        <f>IF(D69=0,"",E69/D69)</f>
        <v/>
      </c>
      <c r="H69" s="72">
        <f>IF(G69="","",REPT("█",MIN(ROUND(G69*20),20)))</f>
        <v/>
      </c>
    </row>
    <row r="70">
      <c r="A70" s="75" t="inlineStr"/>
      <c r="B70" s="75" t="inlineStr">
        <is>
          <t>신뢰 여백 소계</t>
        </is>
      </c>
      <c r="C70" s="76">
        <f>C60+C61+C62+C63+C64+C66+C67+C69</f>
        <v/>
      </c>
      <c r="D70" s="76">
        <f>D60+D61+D62+D63+D64+D66+D67+D69</f>
        <v/>
      </c>
      <c r="E70" s="76">
        <f>E60+E61+E62+E63+E64+E66+E67+E69</f>
        <v/>
      </c>
      <c r="F70" s="76">
        <f>F60+F61+F62+F63+F64+F66+F67+F69</f>
        <v/>
      </c>
      <c r="G70" s="77">
        <f>IF((D60+D61+D62+D63+D64+D66+D67+D69)=0,"",(E60+E61+E62+E63+E64+E66+E67+E69)/(D60+D61+D62+D63+D64+D66+D67+D69))</f>
        <v/>
      </c>
      <c r="H70" s="75" t="inlineStr"/>
    </row>
    <row r="72">
      <c r="A72" s="29" t="inlineStr"/>
      <c r="B72" s="29" t="inlineStr">
        <is>
          <t>총계</t>
        </is>
      </c>
      <c r="C72" s="30">
        <f>C20+C32+C48+C56+C70</f>
        <v/>
      </c>
      <c r="D72" s="30">
        <f>D20+D32+D48+D56+D70</f>
        <v/>
      </c>
      <c r="E72" s="30">
        <f>E20+E32+E48+E56+E70</f>
        <v/>
      </c>
      <c r="F72" s="30">
        <f>F20+F32+F48+F56+F70</f>
        <v/>
      </c>
      <c r="G72" s="78">
        <f>IF((D20+D32+D48+D56+D70)=0,"",(E20+E32+E48+E56+E70)/(D20+D32+D48+D56+D70))</f>
        <v/>
      </c>
      <c r="H72" s="29">
        <f>IF(G72="","",REPT("█",MIN(ROUND(G72*20),20)))</f>
        <v/>
      </c>
    </row>
  </sheetData>
  <mergeCells count="8">
    <mergeCell ref="A50:H50"/>
    <mergeCell ref="A4:H4"/>
    <mergeCell ref="A2:H2"/>
    <mergeCell ref="A13:H13"/>
    <mergeCell ref="A1:H1"/>
    <mergeCell ref="A58:H58"/>
    <mergeCell ref="A22:H22"/>
    <mergeCell ref="A34:H34"/>
  </mergeCells>
  <conditionalFormatting sqref="G13:G72">
    <cfRule type="cellIs" priority="1" operator="greaterThanOrEqual" dxfId="0">
      <formula>0.21016483516483517</formula>
    </cfRule>
    <cfRule type="cellIs" priority="2" operator="greaterThanOrEqual" dxfId="1">
      <formula>0.16813186813186812</formula>
    </cfRule>
    <cfRule type="cellIs" priority="3" operator="greaterThanOrEqual" dxfId="2">
      <formula>0.11208791208791209</formula>
    </cfRule>
    <cfRule type="cellIs" priority="4" operator="greaterThanOrEqual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2026-02-20T15:46:12Z</dcterms:created>
  <dcterms:modified xsi:type="dcterms:W3CDTF">2026-02-20T15:46:12Z</dcterms:modified>
</cp:coreProperties>
</file>