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7~27.6 예산안 (신규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1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2CC"/>
        <bgColor rgb="00FFF2CC"/>
      </patternFill>
    </fill>
    <fill>
      <patternFill patternType="solid">
        <fgColor rgb="00F1C232"/>
        <bgColor rgb="00F1C232"/>
      </patternFill>
    </fill>
    <fill>
      <patternFill patternType="solid">
        <fgColor rgb="00D9EAD3"/>
        <bgColor rgb="00D9EAD3"/>
      </patternFill>
    </fill>
    <fill>
      <patternFill patternType="solid">
        <fgColor rgb="006AA84F"/>
        <bgColor rgb="006AA84F"/>
      </patternFill>
    </fill>
    <fill>
      <patternFill patternType="solid">
        <fgColor rgb="00CFE2F3"/>
        <bgColor rgb="00CFE2F3"/>
      </patternFill>
    </fill>
    <fill>
      <patternFill patternType="solid">
        <fgColor rgb="003D85C6"/>
        <bgColor rgb="003D85C6"/>
      </patternFill>
    </fill>
    <fill>
      <patternFill patternType="solid">
        <fgColor rgb="00F4CCCC"/>
        <bgColor rgb="00F4CCCC"/>
      </patternFill>
    </fill>
    <fill>
      <patternFill patternType="solid">
        <fgColor rgb="00CC0000"/>
        <bgColor rgb="00CC0000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0" fillId="7" borderId="1" pivotButton="0" quotePrefix="0" xfId="0"/>
    <xf numFmtId="3" fontId="0" fillId="7" borderId="1" pivotButton="0" quotePrefix="0" xfId="0"/>
    <xf numFmtId="0" fontId="0" fillId="8" borderId="1" pivotButton="0" quotePrefix="0" xfId="0"/>
    <xf numFmtId="0" fontId="2" fillId="8" borderId="1" pivotButton="0" quotePrefix="0" xfId="0"/>
    <xf numFmtId="3" fontId="2" fillId="8" borderId="1" pivotButton="0" quotePrefix="0" xfId="0"/>
    <xf numFmtId="0" fontId="0" fillId="9" borderId="1" pivotButton="0" quotePrefix="0" xfId="0"/>
    <xf numFmtId="3" fontId="0" fillId="9" borderId="1" pivotButton="0" quotePrefix="0" xfId="0"/>
    <xf numFmtId="0" fontId="0" fillId="10" borderId="1" pivotButton="0" quotePrefix="0" xfId="0"/>
    <xf numFmtId="0" fontId="2" fillId="10" borderId="1" pivotButton="0" quotePrefix="0" xfId="0"/>
    <xf numFmtId="3" fontId="2" fillId="10" borderId="1" pivotButton="0" quotePrefix="0" xfId="0"/>
    <xf numFmtId="0" fontId="3" fillId="11" borderId="1" pivotButton="0" quotePrefix="0" xfId="0"/>
    <xf numFmtId="3" fontId="3" fillId="11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26.7~27.6 예산안</t>
        </is>
      </c>
    </row>
    <row r="2">
      <c r="A2" s="2" t="inlineStr">
        <is>
          <t>월 기본급</t>
        </is>
      </c>
      <c r="B2" s="3" t="n">
        <v>3500000</v>
      </c>
      <c r="C2" s="2" t="inlineStr">
        <is>
          <t>연간 수입</t>
        </is>
      </c>
      <c r="D2" s="3" t="n">
        <v>60000000</v>
      </c>
      <c r="E2" s="2" t="inlineStr">
        <is>
          <t>상여금/년</t>
        </is>
      </c>
      <c r="F2" s="3" t="n">
        <v>17500000</v>
      </c>
      <c r="G2" s="2" t="n"/>
      <c r="H2" s="3" t="n"/>
    </row>
    <row r="3">
      <c r="A3" s="2" t="inlineStr">
        <is>
          <t>경과 월수</t>
        </is>
      </c>
      <c r="B3" s="3">
        <f>MONTH(NOW())-MONTH(DATE(2026,7,1))+1</f>
        <v/>
      </c>
      <c r="C3" s="2" t="inlineStr">
        <is>
          <t>전월 월급</t>
        </is>
      </c>
      <c r="D3" s="3">
        <f>SUMIFS('가계부 내역'!G:G,'가계부 내역'!A:A,"&gt;="&amp;EOMONTH(TODAY(),-2)+1,'가계부 내역'!A:A,"&lt;="&amp;EOMONTH(TODAY(),-1),'가계부 내역'!F:F,"급여")</f>
        <v/>
      </c>
      <c r="E3" s="2" t="inlineStr">
        <is>
          <t>본월 지출</t>
        </is>
      </c>
      <c r="F3" s="3">
        <f>SUMIFS('가계부 내역'!G:G,'가계부 내역'!A:A,"&gt;="&amp;EOMONTH(TODAY(),-1)+1,'가계부 내역'!A:A,"&lt;="&amp;EOMONTH(TODAY(),0),'가계부 내역'!C:C,"지출")</f>
        <v/>
      </c>
      <c r="G3" s="2" t="n"/>
      <c r="H3" s="3" t="n"/>
    </row>
    <row r="4">
      <c r="A4" s="2" t="inlineStr">
        <is>
          <t>월 소비예산</t>
        </is>
      </c>
      <c r="B4" s="3">
        <f>D46</f>
        <v/>
      </c>
      <c r="C4" s="2" t="inlineStr">
        <is>
          <t>연 소비예산</t>
        </is>
      </c>
      <c r="D4" s="3">
        <f>E46</f>
        <v/>
      </c>
      <c r="E4" s="2" t="inlineStr">
        <is>
          <t>월 잔여</t>
        </is>
      </c>
      <c r="F4" s="3">
        <f>B2-B4</f>
        <v/>
      </c>
      <c r="G4" s="2" t="inlineStr">
        <is>
          <t>연 잔여</t>
        </is>
      </c>
      <c r="H4" s="3">
        <f>D2-D4</f>
        <v/>
      </c>
    </row>
    <row r="6">
      <c r="A6" s="4" t="inlineStr">
        <is>
          <t>구분</t>
        </is>
      </c>
      <c r="B6" s="4" t="inlineStr">
        <is>
          <t>프로젝트</t>
        </is>
      </c>
      <c r="C6" s="4" t="inlineStr">
        <is>
          <t>항목</t>
        </is>
      </c>
      <c r="D6" s="4" t="inlineStr">
        <is>
          <t>월 예산</t>
        </is>
      </c>
      <c r="E6" s="4" t="inlineStr">
        <is>
          <t>연 예산</t>
        </is>
      </c>
      <c r="F6" s="4" t="inlineStr">
        <is>
          <t>실적</t>
        </is>
      </c>
      <c r="G6" s="4" t="inlineStr">
        <is>
          <t>남은 예산</t>
        </is>
      </c>
      <c r="H6" s="4" t="inlineStr">
        <is>
          <t>여분/부족</t>
        </is>
      </c>
      <c r="I6" s="4" t="inlineStr">
        <is>
          <t>비고</t>
        </is>
      </c>
    </row>
    <row r="7">
      <c r="A7" s="5" t="inlineStr">
        <is>
          <t>고정</t>
        </is>
      </c>
      <c r="B7" s="5" t="inlineStr">
        <is>
          <t>운영</t>
        </is>
      </c>
      <c r="C7" s="5" t="inlineStr">
        <is>
          <t>자동차 할부</t>
        </is>
      </c>
      <c r="D7" s="6" t="n">
        <v>610000</v>
      </c>
      <c r="E7" s="6" t="n">
        <v>7320000</v>
      </c>
      <c r="F7" s="6">
        <f>SUMIF('가계부 내역'!$K:$K,C7,'가계부 내역'!$G:$G)</f>
        <v/>
      </c>
      <c r="G7" s="6">
        <f>E7+F7</f>
        <v/>
      </c>
      <c r="H7" s="6">
        <f>D7*$B$3+F7</f>
        <v/>
      </c>
      <c r="I7" s="5" t="inlineStr">
        <is>
          <t>할부금 고정</t>
        </is>
      </c>
    </row>
    <row r="8">
      <c r="A8" s="5" t="inlineStr">
        <is>
          <t>고정</t>
        </is>
      </c>
      <c r="B8" s="5" t="inlineStr">
        <is>
          <t>운영</t>
        </is>
      </c>
      <c r="C8" s="5" t="inlineStr">
        <is>
          <t>보험</t>
        </is>
      </c>
      <c r="D8" s="6" t="n">
        <v>160000</v>
      </c>
      <c r="E8" s="6" t="n">
        <v>1920000</v>
      </c>
      <c r="F8" s="6">
        <f>SUMIF('가계부 내역'!$K:$K,C8,'가계부 내역'!$G:$G)</f>
        <v/>
      </c>
      <c r="G8" s="6">
        <f>E8+F8</f>
        <v/>
      </c>
      <c r="H8" s="6">
        <f>D8*$B$3+F8</f>
        <v/>
      </c>
      <c r="I8" s="5" t="inlineStr">
        <is>
          <t>실적 153K</t>
        </is>
      </c>
    </row>
    <row r="9">
      <c r="A9" s="5" t="inlineStr">
        <is>
          <t>고정</t>
        </is>
      </c>
      <c r="B9" s="5" t="inlineStr">
        <is>
          <t>운영</t>
        </is>
      </c>
      <c r="C9" s="5" t="inlineStr">
        <is>
          <t>통신</t>
        </is>
      </c>
      <c r="D9" s="6" t="n">
        <v>130000</v>
      </c>
      <c r="E9" s="6" t="n">
        <v>1560000</v>
      </c>
      <c r="F9" s="6">
        <f>SUMIF('가계부 내역'!$K:$K,C9,'가계부 내역'!$G:$G)</f>
        <v/>
      </c>
      <c r="G9" s="6">
        <f>E9+F9</f>
        <v/>
      </c>
      <c r="H9" s="6">
        <f>D9*$B$3+F9</f>
        <v/>
      </c>
      <c r="I9" s="5" t="inlineStr">
        <is>
          <t>실적 122K</t>
        </is>
      </c>
    </row>
    <row r="10">
      <c r="A10" s="5" t="inlineStr">
        <is>
          <t>고정</t>
        </is>
      </c>
      <c r="B10" s="5" t="inlineStr">
        <is>
          <t>운영</t>
        </is>
      </c>
      <c r="C10" s="5" t="inlineStr">
        <is>
          <t>커플통장</t>
        </is>
      </c>
      <c r="D10" s="6" t="n">
        <v>200000</v>
      </c>
      <c r="E10" s="6" t="n">
        <v>2400000</v>
      </c>
      <c r="F10" s="6">
        <f>SUMIF('가계부 내역'!$K:$K,C10,'가계부 내역'!$G:$G)</f>
        <v/>
      </c>
      <c r="G10" s="6">
        <f>E10+F10</f>
        <v/>
      </c>
      <c r="H10" s="6">
        <f>D10*$B$3+F10</f>
        <v/>
      </c>
      <c r="I10" s="5" t="inlineStr">
        <is>
          <t>약정</t>
        </is>
      </c>
    </row>
    <row r="11">
      <c r="A11" s="5" t="inlineStr">
        <is>
          <t>고정</t>
        </is>
      </c>
      <c r="B11" s="5" t="inlineStr">
        <is>
          <t>효도</t>
        </is>
      </c>
      <c r="C11" s="5" t="inlineStr">
        <is>
          <t>어머니 적금</t>
        </is>
      </c>
      <c r="D11" s="6" t="n">
        <v>300000</v>
      </c>
      <c r="E11" s="6" t="n">
        <v>3600000</v>
      </c>
      <c r="F11" s="6">
        <f>SUMIF('가계부 내역'!$K:$K,C11,'가계부 내역'!$G:$G)</f>
        <v/>
      </c>
      <c r="G11" s="6">
        <f>E11+F11</f>
        <v/>
      </c>
      <c r="H11" s="6">
        <f>D11*$B$3+F11</f>
        <v/>
      </c>
      <c r="I11" s="5" t="inlineStr">
        <is>
          <t>약정</t>
        </is>
      </c>
    </row>
    <row r="12">
      <c r="A12" s="5" t="inlineStr">
        <is>
          <t>고정</t>
        </is>
      </c>
      <c r="B12" s="5" t="inlineStr">
        <is>
          <t>운영</t>
        </is>
      </c>
      <c r="C12" s="5" t="inlineStr">
        <is>
          <t>AI</t>
        </is>
      </c>
      <c r="D12" s="6" t="n">
        <v>15000</v>
      </c>
      <c r="E12" s="6" t="n">
        <v>180000</v>
      </c>
      <c r="F12" s="6">
        <f>SUMIF('가계부 내역'!$K:$K,C12,'가계부 내역'!$G:$G)</f>
        <v/>
      </c>
      <c r="G12" s="6">
        <f>E12+F12</f>
        <v/>
      </c>
      <c r="H12" s="6">
        <f>D12*$B$3+F12</f>
        <v/>
      </c>
      <c r="I12" s="5" t="inlineStr">
        <is>
          <t>구독</t>
        </is>
      </c>
    </row>
    <row r="13">
      <c r="A13" s="7" t="inlineStr"/>
      <c r="B13" s="7" t="inlineStr"/>
      <c r="C13" s="8" t="inlineStr">
        <is>
          <t>1층: 고정 지출 소계</t>
        </is>
      </c>
      <c r="D13" s="9">
        <f>SUM(D7:D12)</f>
        <v/>
      </c>
      <c r="E13" s="9">
        <f>SUM(E7:E12)</f>
        <v/>
      </c>
      <c r="F13" s="9">
        <f>SUM(F7:F12)</f>
        <v/>
      </c>
      <c r="G13" s="9">
        <f>SUM(G7:G12)</f>
        <v/>
      </c>
      <c r="H13" s="9">
        <f>SUM(H7:H12)</f>
        <v/>
      </c>
      <c r="I13" s="2" t="n"/>
    </row>
    <row r="14">
      <c r="A14" s="10" t="inlineStr">
        <is>
          <t>생활</t>
        </is>
      </c>
      <c r="B14" s="10" t="inlineStr">
        <is>
          <t>생활</t>
        </is>
      </c>
      <c r="C14" s="10" t="inlineStr">
        <is>
          <t>식비</t>
        </is>
      </c>
      <c r="D14" s="11" t="n">
        <v>800000</v>
      </c>
      <c r="E14" s="11" t="n">
        <v>9600000</v>
      </c>
      <c r="F14" s="11">
        <f>SUMIF('가계부 내역'!$K:$K,C14,'가계부 내역'!$G:$G)</f>
        <v/>
      </c>
      <c r="G14" s="11">
        <f>E14+F14</f>
        <v/>
      </c>
      <c r="H14" s="11">
        <f>D14*$B$3+F14</f>
        <v/>
      </c>
      <c r="I14" s="10" t="inlineStr">
        <is>
          <t>실적972K→800K 절감목표</t>
        </is>
      </c>
    </row>
    <row r="15">
      <c r="A15" s="10" t="inlineStr">
        <is>
          <t>생활</t>
        </is>
      </c>
      <c r="B15" s="10" t="inlineStr">
        <is>
          <t>생활</t>
        </is>
      </c>
      <c r="C15" s="10" t="inlineStr">
        <is>
          <t>교통</t>
        </is>
      </c>
      <c r="D15" s="11" t="n">
        <v>80000</v>
      </c>
      <c r="E15" s="11" t="n">
        <v>960000</v>
      </c>
      <c r="F15" s="11">
        <f>SUMIF('가계부 내역'!$K:$K,C15,'가계부 내역'!$G:$G)</f>
        <v/>
      </c>
      <c r="G15" s="11">
        <f>E15+F15</f>
        <v/>
      </c>
      <c r="H15" s="11">
        <f>D15*$B$3+F15</f>
        <v/>
      </c>
      <c r="I15" s="10" t="inlineStr">
        <is>
          <t>실적 77K</t>
        </is>
      </c>
    </row>
    <row r="16">
      <c r="A16" s="10" t="inlineStr">
        <is>
          <t>생활</t>
        </is>
      </c>
      <c r="B16" s="10" t="inlineStr">
        <is>
          <t>생활</t>
        </is>
      </c>
      <c r="C16" s="10" t="inlineStr">
        <is>
          <t>카페/간식</t>
        </is>
      </c>
      <c r="D16" s="11" t="n">
        <v>130000</v>
      </c>
      <c r="E16" s="11" t="n">
        <v>1560000</v>
      </c>
      <c r="F16" s="11">
        <f>SUMIF('가계부 내역'!$K:$K,C16,'가계부 내역'!$G:$G)</f>
        <v/>
      </c>
      <c r="G16" s="11">
        <f>E16+F16</f>
        <v/>
      </c>
      <c r="H16" s="11">
        <f>D16*$B$3+F16</f>
        <v/>
      </c>
      <c r="I16" s="10" t="inlineStr">
        <is>
          <t>실적 115K</t>
        </is>
      </c>
    </row>
    <row r="17">
      <c r="A17" s="10" t="inlineStr">
        <is>
          <t>생활</t>
        </is>
      </c>
      <c r="B17" s="10" t="inlineStr">
        <is>
          <t>생활</t>
        </is>
      </c>
      <c r="C17" s="10" t="inlineStr">
        <is>
          <t>자동차 유지</t>
        </is>
      </c>
      <c r="D17" s="11" t="n">
        <v>200000</v>
      </c>
      <c r="E17" s="11" t="n">
        <v>2400000</v>
      </c>
      <c r="F17" s="11">
        <f>SUMIF('가계부 내역'!$K:$K,C17,'가계부 내역'!$G:$G)</f>
        <v/>
      </c>
      <c r="G17" s="11">
        <f>E17+F17</f>
        <v/>
      </c>
      <c r="H17" s="11">
        <f>D17*$B$3+F17</f>
        <v/>
      </c>
      <c r="I17" s="10" t="inlineStr">
        <is>
          <t>주유/톨비/주차 월상</t>
        </is>
      </c>
    </row>
    <row r="18">
      <c r="A18" s="10" t="inlineStr">
        <is>
          <t>생활</t>
        </is>
      </c>
      <c r="B18" s="10" t="inlineStr">
        <is>
          <t>생활</t>
        </is>
      </c>
      <c r="C18" s="10" t="inlineStr">
        <is>
          <t>생활용품</t>
        </is>
      </c>
      <c r="D18" s="11" t="n">
        <v>100000</v>
      </c>
      <c r="E18" s="11" t="n">
        <v>1200000</v>
      </c>
      <c r="F18" s="11">
        <f>SUMIF('가계부 내역'!$K:$K,C18,'가계부 내역'!$G:$G)</f>
        <v/>
      </c>
      <c r="G18" s="11">
        <f>E18+F18</f>
        <v/>
      </c>
      <c r="H18" s="11">
        <f>D18*$B$3+F18</f>
        <v/>
      </c>
      <c r="I18" s="10" t="inlineStr">
        <is>
          <t>생활잡화</t>
        </is>
      </c>
    </row>
    <row r="19">
      <c r="A19" s="10" t="inlineStr">
        <is>
          <t>생활</t>
        </is>
      </c>
      <c r="B19" s="10" t="inlineStr">
        <is>
          <t>생활</t>
        </is>
      </c>
      <c r="C19" s="10" t="inlineStr">
        <is>
          <t>온라인쇼핑</t>
        </is>
      </c>
      <c r="D19" s="11" t="n">
        <v>100000</v>
      </c>
      <c r="E19" s="11" t="n">
        <v>1200000</v>
      </c>
      <c r="F19" s="11">
        <f>SUMIF('가계부 내역'!$K:$K,C19,'가계부 내역'!$G:$G)</f>
        <v/>
      </c>
      <c r="G19" s="11">
        <f>E19+F19</f>
        <v/>
      </c>
      <c r="H19" s="11">
        <f>D19*$B$3+F19</f>
        <v/>
      </c>
      <c r="I19" s="10" t="inlineStr">
        <is>
          <t>실적 109K→100K</t>
        </is>
      </c>
    </row>
    <row r="20">
      <c r="A20" s="10" t="inlineStr">
        <is>
          <t>생활</t>
        </is>
      </c>
      <c r="B20" s="10" t="inlineStr">
        <is>
          <t>생활</t>
        </is>
      </c>
      <c r="C20" s="10" t="inlineStr">
        <is>
          <t>뷰티/미용</t>
        </is>
      </c>
      <c r="D20" s="11" t="n">
        <v>50000</v>
      </c>
      <c r="E20" s="11" t="n">
        <v>600000</v>
      </c>
      <c r="F20" s="11">
        <f>SUMIF('가계부 내역'!$K:$K,C20,'가계부 내역'!$G:$G)</f>
        <v/>
      </c>
      <c r="G20" s="11">
        <f>E20+F20</f>
        <v/>
      </c>
      <c r="H20" s="11">
        <f>D20*$B$3+F20</f>
        <v/>
      </c>
      <c r="I20" s="10" t="inlineStr">
        <is>
          <t>실적 75K→50K</t>
        </is>
      </c>
    </row>
    <row r="21">
      <c r="A21" s="10" t="inlineStr">
        <is>
          <t>생활</t>
        </is>
      </c>
      <c r="B21" s="10" t="inlineStr">
        <is>
          <t>개발</t>
        </is>
      </c>
      <c r="C21" s="10" t="inlineStr">
        <is>
          <t>도서</t>
        </is>
      </c>
      <c r="D21" s="11" t="n">
        <v>20000</v>
      </c>
      <c r="E21" s="11" t="n">
        <v>240000</v>
      </c>
      <c r="F21" s="11">
        <f>SUMIF('가계부 내역'!$K:$K,C21,'가계부 내역'!$G:$G)</f>
        <v/>
      </c>
      <c r="G21" s="11">
        <f>E21+F21</f>
        <v/>
      </c>
      <c r="H21" s="11">
        <f>D21*$B$3+F21</f>
        <v/>
      </c>
      <c r="I21" s="10" t="inlineStr">
        <is>
          <t>실적 10K</t>
        </is>
      </c>
    </row>
    <row r="22">
      <c r="A22" s="12" t="inlineStr"/>
      <c r="B22" s="12" t="inlineStr"/>
      <c r="C22" s="13" t="inlineStr">
        <is>
          <t>2층: 생활 지출 소계</t>
        </is>
      </c>
      <c r="D22" s="14">
        <f>SUM(D14:D21)</f>
        <v/>
      </c>
      <c r="E22" s="14">
        <f>SUM(E14:E21)</f>
        <v/>
      </c>
      <c r="F22" s="14">
        <f>SUM(F14:F21)</f>
        <v/>
      </c>
      <c r="G22" s="14">
        <f>SUM(G14:G21)</f>
        <v/>
      </c>
      <c r="H22" s="14">
        <f>SUM(H14:H21)</f>
        <v/>
      </c>
      <c r="I22" s="2" t="n"/>
    </row>
    <row r="23">
      <c r="A23" s="15" t="inlineStr">
        <is>
          <t>프로젝트</t>
        </is>
      </c>
      <c r="B23" s="15" t="inlineStr">
        <is>
          <t>효도</t>
        </is>
      </c>
      <c r="C23" s="15" t="inlineStr">
        <is>
          <t>어머니 용돈</t>
        </is>
      </c>
      <c r="D23" s="16" t="n">
        <v>500000</v>
      </c>
      <c r="E23" s="16" t="n">
        <v>6000000</v>
      </c>
      <c r="F23" s="16">
        <f>SUMIF('가계부 내역'!$K:$K,C23,'가계부 내역'!$G:$G)</f>
        <v/>
      </c>
      <c r="G23" s="16">
        <f>E23+F23</f>
        <v/>
      </c>
      <c r="H23" s="16">
        <f>D23*$B$3+F23</f>
        <v/>
      </c>
      <c r="I23" s="15" t="inlineStr">
        <is>
          <t>실적 513K</t>
        </is>
      </c>
    </row>
    <row r="24">
      <c r="A24" s="15" t="inlineStr">
        <is>
          <t>프로젝트</t>
        </is>
      </c>
      <c r="B24" s="15" t="inlineStr">
        <is>
          <t>효도</t>
        </is>
      </c>
      <c r="C24" s="15" t="inlineStr">
        <is>
          <t>어머니 선물</t>
        </is>
      </c>
      <c r="D24" s="16" t="n">
        <v>150000</v>
      </c>
      <c r="E24" s="16" t="n">
        <v>1800000</v>
      </c>
      <c r="F24" s="16">
        <f>SUMIF('가계부 내역'!$K:$K,C24,'가계부 내역'!$G:$G)</f>
        <v/>
      </c>
      <c r="G24" s="16">
        <f>E24+F24</f>
        <v/>
      </c>
      <c r="H24" s="16">
        <f>D24*$B$3+F24</f>
        <v/>
      </c>
      <c r="I24" s="15" t="inlineStr">
        <is>
          <t>월상 소형 선물</t>
        </is>
      </c>
    </row>
    <row r="25">
      <c r="A25" s="15" t="inlineStr">
        <is>
          <t>프로젝트</t>
        </is>
      </c>
      <c r="B25" s="15" t="inlineStr">
        <is>
          <t>선교</t>
        </is>
      </c>
      <c r="C25" s="15" t="inlineStr">
        <is>
          <t>선교 헌금</t>
        </is>
      </c>
      <c r="D25" s="16" t="n">
        <v>120000</v>
      </c>
      <c r="E25" s="16" t="n">
        <v>1440000</v>
      </c>
      <c r="F25" s="16">
        <f>SUMIF('가계부 내역'!$K:$K,C25,'가계부 내역'!$G:$G)</f>
        <v/>
      </c>
      <c r="G25" s="16">
        <f>E25+F25</f>
        <v/>
      </c>
      <c r="H25" s="16">
        <f>D25*$B$3+F25</f>
        <v/>
      </c>
      <c r="I25" s="15" t="inlineStr">
        <is>
          <t>실적 119K</t>
        </is>
      </c>
    </row>
    <row r="26">
      <c r="A26" s="15" t="inlineStr">
        <is>
          <t>프로젝트</t>
        </is>
      </c>
      <c r="B26" s="15" t="inlineStr">
        <is>
          <t>선교</t>
        </is>
      </c>
      <c r="C26" s="15" t="inlineStr">
        <is>
          <t>필리핀</t>
        </is>
      </c>
      <c r="D26" s="16" t="n">
        <v>10000</v>
      </c>
      <c r="E26" s="16" t="n">
        <v>120000</v>
      </c>
      <c r="F26" s="16">
        <f>SUMIF('가계부 내역'!$K:$K,C26,'가계부 내역'!$G:$G)</f>
        <v/>
      </c>
      <c r="G26" s="16">
        <f>E26+F26</f>
        <v/>
      </c>
      <c r="H26" s="16">
        <f>D26*$B$3+F26</f>
        <v/>
      </c>
      <c r="I26" s="15" t="inlineStr">
        <is>
          <t>실적 10K</t>
        </is>
      </c>
    </row>
    <row r="27">
      <c r="A27" s="15" t="inlineStr">
        <is>
          <t>프로젝트</t>
        </is>
      </c>
      <c r="B27" s="15" t="inlineStr">
        <is>
          <t>선교</t>
        </is>
      </c>
      <c r="C27" s="15" t="inlineStr">
        <is>
          <t>수련회</t>
        </is>
      </c>
      <c r="D27" s="16" t="n">
        <v>15000</v>
      </c>
      <c r="E27" s="16" t="n">
        <v>180000</v>
      </c>
      <c r="F27" s="16">
        <f>SUMIF('가계부 내역'!$K:$K,C27,'가계부 내역'!$G:$G)</f>
        <v/>
      </c>
      <c r="G27" s="16">
        <f>E27+F27</f>
        <v/>
      </c>
      <c r="H27" s="16">
        <f>D27*$B$3+F27</f>
        <v/>
      </c>
      <c r="I27" s="15" t="inlineStr">
        <is>
          <t>연 1~2회</t>
        </is>
      </c>
    </row>
    <row r="28">
      <c r="A28" s="15" t="inlineStr">
        <is>
          <t>프로젝트</t>
        </is>
      </c>
      <c r="B28" s="15" t="inlineStr">
        <is>
          <t>찬양</t>
        </is>
      </c>
      <c r="C28" s="15" t="inlineStr">
        <is>
          <t>찬양팀 회비</t>
        </is>
      </c>
      <c r="D28" s="16" t="n">
        <v>15000</v>
      </c>
      <c r="E28" s="16" t="n">
        <v>180000</v>
      </c>
      <c r="F28" s="16">
        <f>SUMIF('가계부 내역'!$K:$K,C28,'가계부 내역'!$G:$G)</f>
        <v/>
      </c>
      <c r="G28" s="16">
        <f>E28+F28</f>
        <v/>
      </c>
      <c r="H28" s="16">
        <f>D28*$B$3+F28</f>
        <v/>
      </c>
      <c r="I28" s="15" t="inlineStr">
        <is>
          <t>실적 일치</t>
        </is>
      </c>
    </row>
    <row r="29">
      <c r="A29" s="15" t="inlineStr">
        <is>
          <t>프로젝트</t>
        </is>
      </c>
      <c r="B29" s="15" t="inlineStr">
        <is>
          <t>교회/양육</t>
        </is>
      </c>
      <c r="C29" s="15" t="inlineStr">
        <is>
          <t>식사교제</t>
        </is>
      </c>
      <c r="D29" s="16" t="n">
        <v>10000</v>
      </c>
      <c r="E29" s="16" t="n">
        <v>120000</v>
      </c>
      <c r="F29" s="16">
        <f>SUMIF('가계부 내역'!$K:$K,C29,'가계부 내역'!$G:$G)</f>
        <v/>
      </c>
      <c r="G29" s="16">
        <f>E29+F29</f>
        <v/>
      </c>
      <c r="H29" s="16">
        <f>D29*$B$3+F29</f>
        <v/>
      </c>
      <c r="I29" s="15" t="inlineStr">
        <is>
          <t>실적 7K</t>
        </is>
      </c>
    </row>
    <row r="30">
      <c r="A30" s="15" t="inlineStr">
        <is>
          <t>프로젝트</t>
        </is>
      </c>
      <c r="B30" s="15" t="inlineStr">
        <is>
          <t>ACS</t>
        </is>
      </c>
      <c r="C30" s="15" t="inlineStr">
        <is>
          <t>모임비</t>
        </is>
      </c>
      <c r="D30" s="16" t="n">
        <v>0</v>
      </c>
      <c r="E30" s="16" t="n">
        <v>0</v>
      </c>
      <c r="F30" s="16">
        <f>SUMIF('가계부 내역'!$K:$K,C30,'가계부 내역'!$G:$G)</f>
        <v/>
      </c>
      <c r="G30" s="16">
        <f>E30+F30</f>
        <v/>
      </c>
      <c r="H30" s="16">
        <f>D30*$B$3+F30</f>
        <v/>
      </c>
      <c r="I30" s="15" t="inlineStr">
        <is>
          <t>현재 미발생</t>
        </is>
      </c>
    </row>
    <row r="31">
      <c r="A31" s="15" t="inlineStr">
        <is>
          <t>프로젝트</t>
        </is>
      </c>
      <c r="B31" s="15" t="inlineStr">
        <is>
          <t>관계</t>
        </is>
      </c>
      <c r="C31" s="15" t="inlineStr">
        <is>
          <t>선물</t>
        </is>
      </c>
      <c r="D31" s="16" t="n">
        <v>100000</v>
      </c>
      <c r="E31" s="16" t="n">
        <v>1200000</v>
      </c>
      <c r="F31" s="16">
        <f>SUMIF('가계부 내역'!$K:$K,C31,'가계부 내역'!$G:$G)</f>
        <v/>
      </c>
      <c r="G31" s="16">
        <f>E31+F31</f>
        <v/>
      </c>
      <c r="H31" s="16">
        <f>D31*$B$3+F31</f>
        <v/>
      </c>
      <c r="I31" s="15" t="inlineStr">
        <is>
          <t>월상 소형 선물</t>
        </is>
      </c>
    </row>
    <row r="32">
      <c r="A32" s="15" t="inlineStr">
        <is>
          <t>프로젝트</t>
        </is>
      </c>
      <c r="B32" s="15" t="inlineStr">
        <is>
          <t>관계</t>
        </is>
      </c>
      <c r="C32" s="15" t="inlineStr">
        <is>
          <t>동기 계모임</t>
        </is>
      </c>
      <c r="D32" s="16" t="n">
        <v>15000</v>
      </c>
      <c r="E32" s="16" t="n">
        <v>180000</v>
      </c>
      <c r="F32" s="16">
        <f>SUMIF('가계부 내역'!$K:$K,C32,'가계부 내역'!$G:$G)</f>
        <v/>
      </c>
      <c r="G32" s="16">
        <f>E32+F32</f>
        <v/>
      </c>
      <c r="H32" s="16">
        <f>D32*$B$3+F32</f>
        <v/>
      </c>
      <c r="I32" s="15" t="inlineStr">
        <is>
          <t>실적 일치</t>
        </is>
      </c>
    </row>
    <row r="33">
      <c r="A33" s="15" t="inlineStr">
        <is>
          <t>프로젝트</t>
        </is>
      </c>
      <c r="B33" s="15" t="inlineStr">
        <is>
          <t>관계</t>
        </is>
      </c>
      <c r="C33" s="15" t="inlineStr">
        <is>
          <t>파트 회비</t>
        </is>
      </c>
      <c r="D33" s="16" t="n">
        <v>20000</v>
      </c>
      <c r="E33" s="16" t="n">
        <v>240000</v>
      </c>
      <c r="F33" s="16">
        <f>SUMIF('가계부 내역'!$K:$K,C33,'가계부 내역'!$G:$G)</f>
        <v/>
      </c>
      <c r="G33" s="16">
        <f>E33+F33</f>
        <v/>
      </c>
      <c r="H33" s="16">
        <f>D33*$B$3+F33</f>
        <v/>
      </c>
      <c r="I33" s="15" t="inlineStr">
        <is>
          <t>격월 20K</t>
        </is>
      </c>
    </row>
    <row r="34">
      <c r="A34" s="15" t="inlineStr">
        <is>
          <t>프로젝트</t>
        </is>
      </c>
      <c r="B34" s="15" t="inlineStr">
        <is>
          <t>경조사</t>
        </is>
      </c>
      <c r="C34" s="15" t="inlineStr">
        <is>
          <t>경조비</t>
        </is>
      </c>
      <c r="D34" s="16" t="n">
        <v>60000</v>
      </c>
      <c r="E34" s="16" t="n">
        <v>720000</v>
      </c>
      <c r="F34" s="16">
        <f>SUMIF('가계부 내역'!$K:$K,C34,'가계부 내역'!$G:$G)</f>
        <v/>
      </c>
      <c r="G34" s="16">
        <f>E34+F34</f>
        <v/>
      </c>
      <c r="H34" s="16">
        <f>D34*$B$3+F34</f>
        <v/>
      </c>
      <c r="I34" s="15" t="inlineStr">
        <is>
          <t>실적 117K, 보수적</t>
        </is>
      </c>
    </row>
    <row r="35">
      <c r="A35" s="17" t="inlineStr"/>
      <c r="B35" s="17" t="inlineStr"/>
      <c r="C35" s="18" t="inlineStr">
        <is>
          <t>3층: 프로젝트 지출 소계</t>
        </is>
      </c>
      <c r="D35" s="19">
        <f>SUM(D23:D34)</f>
        <v/>
      </c>
      <c r="E35" s="19">
        <f>SUM(E23:E34)</f>
        <v/>
      </c>
      <c r="F35" s="19">
        <f>SUM(F23:F34)</f>
        <v/>
      </c>
      <c r="G35" s="19">
        <f>SUM(G23:G34)</f>
        <v/>
      </c>
      <c r="H35" s="19">
        <f>SUM(H23:H34)</f>
        <v/>
      </c>
      <c r="I35" s="2" t="n"/>
    </row>
    <row r="36">
      <c r="A36" s="20" t="inlineStr">
        <is>
          <t>비정기</t>
        </is>
      </c>
      <c r="B36" s="20" t="inlineStr">
        <is>
          <t>건강</t>
        </is>
      </c>
      <c r="C36" s="20" t="inlineStr">
        <is>
          <t>의료/건강</t>
        </is>
      </c>
      <c r="D36" s="21" t="n">
        <v>120000</v>
      </c>
      <c r="E36" s="21" t="n">
        <v>1440000</v>
      </c>
      <c r="F36" s="21">
        <f>SUMIF('가계부 내역'!$K:$K,C36,'가계부 내역'!$G:$G)</f>
        <v/>
      </c>
      <c r="G36" s="21">
        <f>E36+F36</f>
        <v/>
      </c>
      <c r="H36" s="21">
        <f>D36*$B$3+F36</f>
        <v/>
      </c>
      <c r="I36" s="20" t="inlineStr">
        <is>
          <t>병원 실적 231K, 변동대비</t>
        </is>
      </c>
    </row>
    <row r="37">
      <c r="A37" s="20" t="inlineStr">
        <is>
          <t>비정기</t>
        </is>
      </c>
      <c r="B37" s="20" t="inlineStr">
        <is>
          <t>운영</t>
        </is>
      </c>
      <c r="C37" s="20" t="inlineStr">
        <is>
          <t>자동차 유지(연간)</t>
        </is>
      </c>
      <c r="D37" s="21" t="n">
        <v>150000</v>
      </c>
      <c r="E37" s="21" t="n">
        <v>1800000</v>
      </c>
      <c r="F37" s="21">
        <f>SUMIF('가계부 내역'!$K:$K,C37,'가계부 내역'!$G:$G)</f>
        <v/>
      </c>
      <c r="G37" s="21">
        <f>E37+F37</f>
        <v/>
      </c>
      <c r="H37" s="21">
        <f>D37*$B$3+F37</f>
        <v/>
      </c>
      <c r="I37" s="20" t="inlineStr">
        <is>
          <t>보험갱신/정비/수리</t>
        </is>
      </c>
    </row>
    <row r="38">
      <c r="A38" s="20" t="inlineStr">
        <is>
          <t>비정기</t>
        </is>
      </c>
      <c r="B38" s="20" t="inlineStr">
        <is>
          <t>여행</t>
        </is>
      </c>
      <c r="C38" s="20" t="inlineStr">
        <is>
          <t>여행</t>
        </is>
      </c>
      <c r="D38" s="21" t="n">
        <v>200000</v>
      </c>
      <c r="E38" s="21" t="n">
        <v>2400000</v>
      </c>
      <c r="F38" s="21">
        <f>SUMIF('가계부 내역'!$K:$K,C38,'가계부 내역'!$G:$G)</f>
        <v/>
      </c>
      <c r="G38" s="21">
        <f>E38+F38</f>
        <v/>
      </c>
      <c r="H38" s="21">
        <f>D38*$B$3+F38</f>
        <v/>
      </c>
      <c r="I38" s="20" t="inlineStr">
        <is>
          <t>여수+일본+속초 등</t>
        </is>
      </c>
    </row>
    <row r="39">
      <c r="A39" s="20" t="inlineStr">
        <is>
          <t>비정기</t>
        </is>
      </c>
      <c r="B39" s="20" t="inlineStr">
        <is>
          <t>관계</t>
        </is>
      </c>
      <c r="C39" s="20" t="inlineStr">
        <is>
          <t>대형선물</t>
        </is>
      </c>
      <c r="D39" s="21" t="n">
        <v>100000</v>
      </c>
      <c r="E39" s="21" t="n">
        <v>1200000</v>
      </c>
      <c r="F39" s="21">
        <f>SUMIF('가계부 내역'!$K:$K,C39,'가계부 내역'!$G:$G)</f>
        <v/>
      </c>
      <c r="G39" s="21">
        <f>E39+F39</f>
        <v/>
      </c>
      <c r="H39" s="21">
        <f>D39*$B$3+F39</f>
        <v/>
      </c>
      <c r="I39" s="20" t="inlineStr">
        <is>
          <t>비정기 대형 선물</t>
        </is>
      </c>
    </row>
    <row r="40">
      <c r="A40" s="20" t="inlineStr">
        <is>
          <t>비정기</t>
        </is>
      </c>
      <c r="B40" s="20" t="inlineStr">
        <is>
          <t>효도</t>
        </is>
      </c>
      <c r="C40" s="20" t="inlineStr">
        <is>
          <t>효도 이벤트</t>
        </is>
      </c>
      <c r="D40" s="21" t="n">
        <v>100000</v>
      </c>
      <c r="E40" s="21" t="n">
        <v>1200000</v>
      </c>
      <c r="F40" s="21">
        <f>SUMIF('가계부 내역'!$K:$K,C40,'가계부 내역'!$G:$G)</f>
        <v/>
      </c>
      <c r="G40" s="21">
        <f>E40+F40</f>
        <v/>
      </c>
      <c r="H40" s="21">
        <f>D40*$B$3+F40</f>
        <v/>
      </c>
      <c r="I40" s="20" t="inlineStr">
        <is>
          <t>어머니 여행/큰선물</t>
        </is>
      </c>
    </row>
    <row r="41">
      <c r="A41" s="20" t="inlineStr">
        <is>
          <t>비정기</t>
        </is>
      </c>
      <c r="B41" s="20" t="inlineStr">
        <is>
          <t>생활</t>
        </is>
      </c>
      <c r="C41" s="20" t="inlineStr">
        <is>
          <t>패션/쇼핑</t>
        </is>
      </c>
      <c r="D41" s="21" t="n">
        <v>80000</v>
      </c>
      <c r="E41" s="21" t="n">
        <v>960000</v>
      </c>
      <c r="F41" s="21">
        <f>SUMIF('가계부 내역'!$K:$K,C41,'가계부 내역'!$G:$G)</f>
        <v/>
      </c>
      <c r="G41" s="21">
        <f>E41+F41</f>
        <v/>
      </c>
      <c r="H41" s="21">
        <f>D41*$B$3+F41</f>
        <v/>
      </c>
      <c r="I41" s="20" t="inlineStr">
        <is>
          <t>실적 219K→절감</t>
        </is>
      </c>
    </row>
    <row r="42">
      <c r="A42" s="20" t="inlineStr">
        <is>
          <t>비정기</t>
        </is>
      </c>
      <c r="B42" s="20" t="inlineStr">
        <is>
          <t>생활</t>
        </is>
      </c>
      <c r="C42" s="20" t="inlineStr">
        <is>
          <t>문화/여가</t>
        </is>
      </c>
      <c r="D42" s="21" t="n">
        <v>80000</v>
      </c>
      <c r="E42" s="21" t="n">
        <v>960000</v>
      </c>
      <c r="F42" s="21">
        <f>SUMIF('가계부 내역'!$K:$K,C42,'가계부 내역'!$G:$G)</f>
        <v/>
      </c>
      <c r="G42" s="21">
        <f>E42+F42</f>
        <v/>
      </c>
      <c r="H42" s="21">
        <f>D42*$B$3+F42</f>
        <v/>
      </c>
      <c r="I42" s="20" t="inlineStr">
        <is>
          <t>실적 413K→대폭절감</t>
        </is>
      </c>
    </row>
    <row r="43">
      <c r="A43" s="20" t="inlineStr">
        <is>
          <t>비정기</t>
        </is>
      </c>
      <c r="B43" s="20" t="inlineStr">
        <is>
          <t>예비</t>
        </is>
      </c>
      <c r="C43" s="20" t="inlineStr">
        <is>
          <t>예비비</t>
        </is>
      </c>
      <c r="D43" s="21" t="n">
        <v>100000</v>
      </c>
      <c r="E43" s="21" t="n">
        <v>1200000</v>
      </c>
      <c r="F43" s="21">
        <f>SUMIF('가계부 내역'!$K:$K,C43,'가계부 내역'!$G:$G)</f>
        <v/>
      </c>
      <c r="G43" s="21">
        <f>E43+F43</f>
        <v/>
      </c>
      <c r="H43" s="21">
        <f>D43*$B$3+F43</f>
        <v/>
      </c>
      <c r="I43" s="20" t="inlineStr">
        <is>
          <t>순수 돌발지출</t>
        </is>
      </c>
    </row>
    <row r="44">
      <c r="A44" s="22" t="n"/>
      <c r="B44" s="22" t="n"/>
      <c r="C44" s="23" t="inlineStr">
        <is>
          <t>4층: 비정기/연간 적립 소계</t>
        </is>
      </c>
      <c r="D44" s="24">
        <f>SUM(D36:D43)</f>
        <v/>
      </c>
      <c r="E44" s="24">
        <f>SUM(E36:E43)</f>
        <v/>
      </c>
      <c r="F44" s="24">
        <f>SUM(F36:F43)</f>
        <v/>
      </c>
      <c r="G44" s="24">
        <f>SUM(G36:G43)</f>
        <v/>
      </c>
      <c r="H44" s="24">
        <f>SUM(H36:H43)</f>
        <v/>
      </c>
      <c r="I44" s="22" t="n"/>
    </row>
    <row r="46">
      <c r="A46" s="25" t="n"/>
      <c r="B46" s="25" t="n"/>
      <c r="C46" s="25" t="inlineStr">
        <is>
          <t>총계</t>
        </is>
      </c>
      <c r="D46" s="26">
        <f>D13+D22+D35+D44</f>
        <v/>
      </c>
      <c r="E46" s="26">
        <f>E13+E22+E35+E44</f>
        <v/>
      </c>
      <c r="F46" s="26">
        <f>F13+F22+F35+F44</f>
        <v/>
      </c>
      <c r="G46" s="26">
        <f>G13+G22+G35+G44</f>
        <v/>
      </c>
      <c r="H46" s="26">
        <f>H13+H22+H35+H44</f>
        <v/>
      </c>
      <c r="I46" s="25" t="n"/>
    </row>
    <row r="48">
      <c r="A48" s="27" t="inlineStr">
        <is>
          <t>자산 운용 계획</t>
        </is>
      </c>
    </row>
    <row r="49">
      <c r="C49" s="2" t="inlineStr">
        <is>
          <t>월 잔여 (기본급-소비)</t>
        </is>
      </c>
      <c r="E49" s="3">
        <f>B2-B4</f>
        <v/>
      </c>
    </row>
    <row r="50">
      <c r="C50" s="2" t="inlineStr">
        <is>
          <t>연 잔여</t>
        </is>
      </c>
      <c r="E50" s="3">
        <f>D2-D4</f>
        <v/>
      </c>
    </row>
    <row r="51">
      <c r="C51" s="2" t="inlineStr">
        <is>
          <t>상여금</t>
        </is>
      </c>
      <c r="E51" s="3" t="n">
        <v>17500000</v>
      </c>
    </row>
    <row r="52">
      <c r="C52" s="2" t="inlineStr">
        <is>
          <t>상여→투자(주식)</t>
        </is>
      </c>
      <c r="E52" s="3" t="n">
        <v>10000000</v>
      </c>
    </row>
    <row r="53">
      <c r="C53" s="2" t="inlineStr">
        <is>
          <t>상여→저축</t>
        </is>
      </c>
      <c r="E53" s="3" t="n">
        <v>5000000</v>
      </c>
    </row>
    <row r="54">
      <c r="C54" s="2" t="inlineStr">
        <is>
          <t>상여→여유분</t>
        </is>
      </c>
      <c r="E54" s="3" t="n">
        <v>2500000</v>
      </c>
    </row>
    <row r="55">
      <c r="C55" s="2" t="inlineStr">
        <is>
          <t>연간 자산축적 목표</t>
        </is>
      </c>
      <c r="E55" s="3">
        <f>49+51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2026-02-17T09:37:14Z</dcterms:created>
  <dcterms:modified xsi:type="dcterms:W3CDTF">2026-02-17T09:37:14Z</dcterms:modified>
</cp:coreProperties>
</file>